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e" sheetId="1" state="visible" r:id="rId3"/>
    <sheet name="Bereiche" sheetId="2" state="visible" r:id="rId4"/>
    <sheet name="Mindest" sheetId="3" state="visible" r:id="rId5"/>
    <sheet name="Dehnungsklassen" sheetId="4" state="visible" r:id="rId6"/>
    <sheet name="Dehnungskorrektur" sheetId="5" state="visible" r:id="rId7"/>
    <sheet name="Gewichte" sheetId="6" state="visible" r:id="rId8"/>
    <sheet name="Parameter" sheetId="7" state="visible" r:id="rId9"/>
    <sheet name="Artikel-Felder" sheetId="8" state="visible" r:id="rId10"/>
    <sheet name="Rechenbeispie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<sst xmlns="http://schemas.openxmlformats.org/spreadsheetml/2006/main" count="710" uniqueCount="287">
  <si>
    <t xml:space="preserve">Ommetryx – Konfiguration Größenempfehlung</t>
  </si>
  <si>
    <t xml:space="preserve">Stand 20.10.2026 · Version 3 · Quelle: Projekt-Dokument claude/schnittstellen-dokumentation-v3.md</t>
  </si>
  <si>
    <t xml:space="preserve">Wofür diese Datei ist</t>
  </si>
  <si>
    <t xml:space="preserve">Alle Zahlen der Empfehlungslogik als Tabellen. Sie gehören ins Backend in eine Konfigurationstabelle, nicht fest in den Code. Jedes Blatt entspricht einer Datenbanktabelle und kann als CSV exportiert werden.</t>
  </si>
  <si>
    <t xml:space="preserve">Blätter</t>
  </si>
  <si>
    <t xml:space="preserve">Bereiche – Ziel-Mehrweite je Kategorie, Messpunkt und Passform (Referenzgröße DE 40). Die Spalte 'mitte' wird berechnet.</t>
  </si>
  <si>
    <t xml:space="preserve">Mindest – Mindest-Mehrweite je Kategorie und Messpunkt (Bewegung).</t>
  </si>
  <si>
    <t xml:space="preserve">Dehnungsklassen / Dehnungskorrektur – Einteilung der Dehnung und Abzug von der Ziel-Mitte.</t>
  </si>
  <si>
    <t xml:space="preserve">Gewichte – Gewicht je Messpunkt im Score.</t>
  </si>
  <si>
    <t xml:space="preserve">Parameter – alle Einzelwerte: Strafen, Grenzen, Umrechnung, Konfidenz, Lernen.</t>
  </si>
  <si>
    <t xml:space="preserve">Artikel-Felder – Felder, die bei der Vermessung je Artikel erfasst werden, mit Beispielzeile.</t>
  </si>
  <si>
    <t xml:space="preserve">Rechenbeispiel – zeigt mit echten Formeln, wie eine Empfehlung entsteht. Gelbe Zellen dürfen geändert werden.</t>
  </si>
  <si>
    <t xml:space="preserve">Farben</t>
  </si>
  <si>
    <t xml:space="preserve">Blaue Zahlen = festgelegte Werte (Eingaben). Schwarze Zahlen = Formeln. Gelber Hintergrund = Zellen zum Ausprobieren im Rechenbeispiel.</t>
  </si>
  <si>
    <t xml:space="preserve">Vertrauen</t>
  </si>
  <si>
    <t xml:space="preserve">B = belegt (Norm, Lehrbuch, Studie, Industriestandard) · P = Praxiswert · A = eigene Ableitung aus belegten Werten. Alles mit A wird mit echten Rückmeldungen kalibriert.</t>
  </si>
  <si>
    <t xml:space="preserve">Einheiten</t>
  </si>
  <si>
    <t xml:space="preserve">Alle Umfänge in cm. Mehrweite = Kleidungsumfang − Körperumfang. Ausnahme Leggings: Prozent des Körpermaßes (Spalte 'einheit').</t>
  </si>
  <si>
    <t xml:space="preserve">kategorie_id</t>
  </si>
  <si>
    <t xml:space="preserve">kategorie</t>
  </si>
  <si>
    <t xml:space="preserve">messpunkt</t>
  </si>
  <si>
    <t xml:space="preserve">passform</t>
  </si>
  <si>
    <t xml:space="preserve">unter</t>
  </si>
  <si>
    <t xml:space="preserve">ober</t>
  </si>
  <si>
    <t xml:space="preserve">mitte</t>
  </si>
  <si>
    <t xml:space="preserve">einheit</t>
  </si>
  <si>
    <t xml:space="preserve">referenz_dehnungsklasse</t>
  </si>
  <si>
    <t xml:space="preserve">vertrauen</t>
  </si>
  <si>
    <t xml:space="preserve">quelle</t>
  </si>
  <si>
    <t xml:space="preserve">web_oberteil</t>
  </si>
  <si>
    <t xml:space="preserve">Blusen, Hemden, Kleider (Webware)</t>
  </si>
  <si>
    <t xml:space="preserve">brust</t>
  </si>
  <si>
    <t xml:space="preserve">koerpernah</t>
  </si>
  <si>
    <t xml:space="preserve">cm</t>
  </si>
  <si>
    <t xml:space="preserve">Lage B, Grenzen A</t>
  </si>
  <si>
    <t xml:space="preserve">McCall Ease Allowances; Aldrich/Joseph-Armstrong Grundschnitt; Sakata et al. 2021</t>
  </si>
  <si>
    <t xml:space="preserve">regulaer</t>
  </si>
  <si>
    <t xml:space="preserve">locker</t>
  </si>
  <si>
    <t xml:space="preserve">oversized</t>
  </si>
  <si>
    <t xml:space="preserve">jersey</t>
  </si>
  <si>
    <t xml:space="preserve">T-Shirts, Tops, Kleider (Jersey)</t>
  </si>
  <si>
    <t xml:space="preserve">P/A</t>
  </si>
  <si>
    <t xml:space="preserve">The Shapes of Fabric; MDPI T-Shirt-Studie</t>
  </si>
  <si>
    <t xml:space="preserve">strick</t>
  </si>
  <si>
    <t xml:space="preserve">Strick, Pullover</t>
  </si>
  <si>
    <t xml:space="preserve">P</t>
  </si>
  <si>
    <t xml:space="preserve">Lion Brand Ease-Tabelle</t>
  </si>
  <si>
    <t xml:space="preserve">jacke</t>
  </si>
  <si>
    <t xml:space="preserve">Blazer, Jacken</t>
  </si>
  <si>
    <t xml:space="preserve">B</t>
  </si>
  <si>
    <t xml:space="preserve">McCall Jackets; ASDP; Monobe et al. 2017</t>
  </si>
  <si>
    <t xml:space="preserve">mantel</t>
  </si>
  <si>
    <t xml:space="preserve">Mäntel</t>
  </si>
  <si>
    <t xml:space="preserve">McCall Coats; ASDP</t>
  </si>
  <si>
    <t xml:space="preserve">web_tailliert</t>
  </si>
  <si>
    <t xml:space="preserve">Kleider und Blusen tailliert (Webware)</t>
  </si>
  <si>
    <t xml:space="preserve">taille</t>
  </si>
  <si>
    <t xml:space="preserve">ASDP; Threads; Sakata et al. 2021</t>
  </si>
  <si>
    <t xml:space="preserve">rock_hose_fest</t>
  </si>
  <si>
    <t xml:space="preserve">Röcke, Hosen mit festem Bund (Webware)</t>
  </si>
  <si>
    <t xml:space="preserve">Rudolf et al. 2021; ASDP; Threads – Bereiche überlappen bewusst</t>
  </si>
  <si>
    <t xml:space="preserve">rock_hose_stretch</t>
  </si>
  <si>
    <t xml:space="preserve">Röcke, Hosen mit Stretch-Bund (Klasse 1)</t>
  </si>
  <si>
    <t xml:space="preserve">A</t>
  </si>
  <si>
    <t xml:space="preserve">Fachpraxis; ersetzt die Dehnungskorrektur an der Taille</t>
  </si>
  <si>
    <t xml:space="preserve">web_unterteil</t>
  </si>
  <si>
    <t xml:space="preserve">Röcke, Hosen, Kleider (Webware)</t>
  </si>
  <si>
    <t xml:space="preserve">huefte</t>
  </si>
  <si>
    <t xml:space="preserve">McCall Skirts/Pants; Rudolf et al. 2021; Choi &amp; Ashdown 2010</t>
  </si>
  <si>
    <t xml:space="preserve">jersey_unterteil</t>
  </si>
  <si>
    <t xml:space="preserve">Röcke, Kleider (Jersey)</t>
  </si>
  <si>
    <t xml:space="preserve">abgeleitet aus Jersey-Brust</t>
  </si>
  <si>
    <t xml:space="preserve">leggings</t>
  </si>
  <si>
    <t xml:space="preserve">Leggings</t>
  </si>
  <si>
    <t xml:space="preserve">% des Körpermaßes</t>
  </si>
  <si>
    <t xml:space="preserve">A, niedrig</t>
  </si>
  <si>
    <t xml:space="preserve">Fachpraxis; Patent US 6,665,577</t>
  </si>
  <si>
    <t xml:space="preserve">hose_web</t>
  </si>
  <si>
    <t xml:space="preserve">Hosen (Webware)</t>
  </si>
  <si>
    <t xml:space="preserve">oberschenkel</t>
  </si>
  <si>
    <t xml:space="preserve">Rudolf et al. 2021 (Sitzen)</t>
  </si>
  <si>
    <t xml:space="preserve">aermel_web</t>
  </si>
  <si>
    <t xml:space="preserve">Ärmel (Webware)</t>
  </si>
  <si>
    <t xml:space="preserve">oberarm</t>
  </si>
  <si>
    <t xml:space="preserve">Sewaholic; Sure-Fit Designs; Curvy Sewing Collective</t>
  </si>
  <si>
    <t xml:space="preserve">mindest_cm_klasse0</t>
  </si>
  <si>
    <t xml:space="preserve">hinweis</t>
  </si>
  <si>
    <t xml:space="preserve">mit Ärmel; ärmellos 3 cm</t>
  </si>
  <si>
    <t xml:space="preserve">ASDP 6,4–10,2; Threads 6,4–7,6; Konfektion 5,1</t>
  </si>
  <si>
    <t xml:space="preserve">B/P</t>
  </si>
  <si>
    <t xml:space="preserve">web_oberteil_aermellos</t>
  </si>
  <si>
    <t xml:space="preserve">ärmellose Webware</t>
  </si>
  <si>
    <t xml:space="preserve">Fachpraxis</t>
  </si>
  <si>
    <t xml:space="preserve">ASDP Jacke 8,9–12,7</t>
  </si>
  <si>
    <t xml:space="preserve">ASDP Mantel 11,4–16,5</t>
  </si>
  <si>
    <t xml:space="preserve">ASDP; Threads</t>
  </si>
  <si>
    <t xml:space="preserve">oberteil_nicht_tailliert</t>
  </si>
  <si>
    <t xml:space="preserve">nur Mindestprüfung, Gewicht 0</t>
  </si>
  <si>
    <t xml:space="preserve">Patent-Logik Sekundärmaß</t>
  </si>
  <si>
    <t xml:space="preserve">Rudolf et al. 2021</t>
  </si>
  <si>
    <t xml:space="preserve">aermel_jersey</t>
  </si>
  <si>
    <t xml:space="preserve">Jersey und Strick</t>
  </si>
  <si>
    <t xml:space="preserve">Curvy Sewing Collective</t>
  </si>
  <si>
    <t xml:space="preserve">klasse</t>
  </si>
  <si>
    <t xml:space="preserve">name</t>
  </si>
  <si>
    <t xml:space="preserve">dehnung_von</t>
  </si>
  <si>
    <t xml:space="preserve">dehnung_bis</t>
  </si>
  <si>
    <t xml:space="preserve">beispiele</t>
  </si>
  <si>
    <t xml:space="preserve">mindest_regel</t>
  </si>
  <si>
    <t xml:space="preserve">starr</t>
  </si>
  <si>
    <t xml:space="preserve">Popeline, Leinen, Wollstoff</t>
  </si>
  <si>
    <t xml:space="preserve">fester Wert aus Blatt Mindest</t>
  </si>
  <si>
    <t xml:space="preserve">leicht</t>
  </si>
  <si>
    <t xml:space="preserve">Stretch-Denim, Webware mit Elastan, Ponte</t>
  </si>
  <si>
    <t xml:space="preserve">Brust 0 · Hüfte 0 · Oberschenkel 0 · Taille −2 cm</t>
  </si>
  <si>
    <t xml:space="preserve">mittel</t>
  </si>
  <si>
    <t xml:space="preserve">Single-Jersey, Interlock</t>
  </si>
  <si>
    <t xml:space="preserve">−0,2 × Dehnung × Körpermaß</t>
  </si>
  <si>
    <t xml:space="preserve">hoch</t>
  </si>
  <si>
    <t xml:space="preserve">Viskose-Elastan-Jersey, Rippstrick</t>
  </si>
  <si>
    <t xml:space="preserve">sehr hoch</t>
  </si>
  <si>
    <t xml:space="preserve">Leggings, Bademode</t>
  </si>
  <si>
    <t xml:space="preserve">Dehnung messen: 10 cm quer markieren, ohne Gewalt dehnen. Dehnung = (gedehnte Länge − 10) / 10. Obergrenze jeweils ausschließlich. Einteilung B (J. Cole).</t>
  </si>
  <si>
    <t xml:space="preserve">nur Leggings, prozentual im Blatt Bereiche</t>
  </si>
  <si>
    <t xml:space="preserve">Angewendet wird nur der Unterschied zur Referenzklasse der Kategorie: Korrektur = Wert(gemessene Klasse) − Wert(Referenzklasse). Gilt nicht für die Taille (eigene Stretch-Zeilen). Werte A.</t>
  </si>
  <si>
    <t xml:space="preserve">Oberteile, Jersey, Strick (nicht tailliert)</t>
  </si>
  <si>
    <t xml:space="preserve">Taille nur Mindestprüfung; Hüfte nur wenn gemessen; Oberarm nur wenn im Profil</t>
  </si>
  <si>
    <t xml:space="preserve">Kleider und Blusen tailliert</t>
  </si>
  <si>
    <t xml:space="preserve">Jacken, Mäntel</t>
  </si>
  <si>
    <t xml:space="preserve">Röcke</t>
  </si>
  <si>
    <t xml:space="preserve">Hosen</t>
  </si>
  <si>
    <t xml:space="preserve">Zusätzlich, wenn gewertet: Schulter 0,8 · Ärmellänge 0,3. Figur-Angaben verändern Gewichte wie in v2.</t>
  </si>
  <si>
    <t xml:space="preserve">gruppe</t>
  </si>
  <si>
    <t xml:space="preserve">schluessel</t>
  </si>
  <si>
    <t xml:space="preserve">wert</t>
  </si>
  <si>
    <t xml:space="preserve">bedeutung</t>
  </si>
  <si>
    <t xml:space="preserve">strafe</t>
  </si>
  <si>
    <t xml:space="preserve">faktor_zu_eng</t>
  </si>
  <si>
    <t xml:space="preserve">Abstand außerhalb der Zone × 2</t>
  </si>
  <si>
    <t xml:space="preserve">faktor_zu_weit</t>
  </si>
  <si>
    <t xml:space="preserve">faktor_unter_mindest</t>
  </si>
  <si>
    <t xml:space="preserve">je cm</t>
  </si>
  <si>
    <t xml:space="preserve">zusätzlich zur normalen Strafe</t>
  </si>
  <si>
    <t xml:space="preserve">faktor_ueber_obergrenze</t>
  </si>
  <si>
    <t xml:space="preserve">über der Obergrenze von oversized</t>
  </si>
  <si>
    <t xml:space="preserve">zone</t>
  </si>
  <si>
    <t xml:space="preserve">zone_halbbreite_in_G</t>
  </si>
  <si>
    <t xml:space="preserve">× G</t>
  </si>
  <si>
    <t xml:space="preserve">straffreie Zone ±0,5 Größensprung um die Mitte</t>
  </si>
  <si>
    <t xml:space="preserve">B (Patent US 6,665,577)</t>
  </si>
  <si>
    <t xml:space="preserve">schnitt</t>
  </si>
  <si>
    <t xml:space="preserve">schnitt_begrenzung_in_G</t>
  </si>
  <si>
    <t xml:space="preserve">Kundinnen-Wahl höchstens 1 Größensprung vom Schnitt</t>
  </si>
  <si>
    <t xml:space="preserve">ausschluss</t>
  </si>
  <si>
    <t xml:space="preserve">ausschluss_unter_mindest_cm</t>
  </si>
  <si>
    <t xml:space="preserve">nur Klasse 0</t>
  </si>
  <si>
    <t xml:space="preserve">schulter_ausschluss_schmaler_cm</t>
  </si>
  <si>
    <t xml:space="preserve">Webware, eingesetzter Ärmel</t>
  </si>
  <si>
    <t xml:space="preserve">toleranz</t>
  </si>
  <si>
    <t xml:space="preserve">schulter_toleranz_cm</t>
  </si>
  <si>
    <t xml:space="preserve">straffrei</t>
  </si>
  <si>
    <t xml:space="preserve">aermellaenge_toleranz_cm</t>
  </si>
  <si>
    <t xml:space="preserve">straffrei; zu kurz zählt doppelt</t>
  </si>
  <si>
    <t xml:space="preserve">B/A</t>
  </si>
  <si>
    <t xml:space="preserve">figur</t>
  </si>
  <si>
    <t xml:space="preserve">figur_korrektur_max_cm</t>
  </si>
  <si>
    <t xml:space="preserve">unverändert aus v2</t>
  </si>
  <si>
    <t xml:space="preserve">dehnung</t>
  </si>
  <si>
    <t xml:space="preserve">nutzbarer_dehnungsanteil</t>
  </si>
  <si>
    <t xml:space="preserve">Mindest Klasse 2–4 = −0,2 × Dehnung × Körpermaß</t>
  </si>
  <si>
    <t xml:space="preserve">A (Patent)</t>
  </si>
  <si>
    <t xml:space="preserve">umrechnung</t>
  </si>
  <si>
    <t xml:space="preserve">skalierung_anteil_proportional</t>
  </si>
  <si>
    <t xml:space="preserve">Wert(K) = Wert_ref × (0,5 + 0,5 × K/K_ref)</t>
  </si>
  <si>
    <t xml:space="preserve">k_ref_brust_cm</t>
  </si>
  <si>
    <t xml:space="preserve">DE 40</t>
  </si>
  <si>
    <t xml:space="preserve">k_ref_huefte_cm</t>
  </si>
  <si>
    <t xml:space="preserve">konfidenz</t>
  </si>
  <si>
    <t xml:space="preserve">start</t>
  </si>
  <si>
    <t xml:space="preserve">abzug_mass_geschaetzt</t>
  </si>
  <si>
    <t xml:space="preserve">abzug_knapp_min</t>
  </si>
  <si>
    <t xml:space="preserve">Score-Differenz &lt; 10 %</t>
  </si>
  <si>
    <t xml:space="preserve">abzug_knapp_max</t>
  </si>
  <si>
    <t xml:space="preserve">knapp_schwelle_score_diff</t>
  </si>
  <si>
    <t xml:space="preserve">abzug_widerspruch_figur</t>
  </si>
  <si>
    <t xml:space="preserve">Figur-Korrektur halbieren</t>
  </si>
  <si>
    <t xml:space="preserve">abzug_schnitt_begrenzt</t>
  </si>
  <si>
    <t xml:space="preserve">abzug_unter_mindest</t>
  </si>
  <si>
    <t xml:space="preserve">schwelle_unsicher</t>
  </si>
  <si>
    <t xml:space="preserve">darunter status = unsicher</t>
  </si>
  <si>
    <t xml:space="preserve">lernen_person</t>
  </si>
  <si>
    <t xml:space="preserve">offset_faktor</t>
  </si>
  <si>
    <t xml:space="preserve">Offset_neu = Offset_alt + 0,3 × Korrektur</t>
  </si>
  <si>
    <t xml:space="preserve">offset_feedback_cm</t>
  </si>
  <si>
    <t xml:space="preserve">zu eng = +2, zu weit = −2</t>
  </si>
  <si>
    <t xml:space="preserve">offset_max_cm</t>
  </si>
  <si>
    <t xml:space="preserve">lernen_artikel</t>
  </si>
  <si>
    <t xml:space="preserve">glaettung_k</t>
  </si>
  <si>
    <t xml:space="preserve">Gewicht = n / (n + 25)</t>
  </si>
  <si>
    <t xml:space="preserve">versatz_je_rueckmeldung_in_G</t>
  </si>
  <si>
    <t xml:space="preserve">zu klein = +0,5 G, zu groß = −0,5 G</t>
  </si>
  <si>
    <t xml:space="preserve">n_hinweis</t>
  </si>
  <si>
    <t xml:space="preserve">Rückmeldungen</t>
  </si>
  <si>
    <t xml:space="preserve">Hinweis 'fällt klein/groß aus'</t>
  </si>
  <si>
    <t xml:space="preserve">quote_hinweis</t>
  </si>
  <si>
    <t xml:space="preserve">Anteil in eine Richtung</t>
  </si>
  <si>
    <t xml:space="preserve">n_volle_korrektur</t>
  </si>
  <si>
    <t xml:space="preserve">grenze_unter_n_voll_in_G</t>
  </si>
  <si>
    <t xml:space="preserve">grenze_ab_n_voll_in_G</t>
  </si>
  <si>
    <t xml:space="preserve">team_freigabe_ab_cm</t>
  </si>
  <si>
    <t xml:space="preserve">größere Änderungen an Grundwerten nur mit Freigabe</t>
  </si>
  <si>
    <t xml:space="preserve">vermessung</t>
  </si>
  <si>
    <t xml:space="preserve">messgenauigkeit_ziel_cm</t>
  </si>
  <si>
    <t xml:space="preserve">cm Umfang</t>
  </si>
  <si>
    <t xml:space="preserve">±1 cm gegenüber Handmessung (±0,5 cm Flachmaß)</t>
  </si>
  <si>
    <t xml:space="preserve">messhoehe_brust_unter_armloch_cm</t>
  </si>
  <si>
    <t xml:space="preserve">Industriestandard</t>
  </si>
  <si>
    <t xml:space="preserve">feld</t>
  </si>
  <si>
    <t xml:space="preserve">typ</t>
  </si>
  <si>
    <t xml:space="preserve">erlaubte_werte</t>
  </si>
  <si>
    <t xml:space="preserve">pflicht</t>
  </si>
  <si>
    <t xml:space="preserve">beschreibung</t>
  </si>
  <si>
    <t xml:space="preserve">beispiel</t>
  </si>
  <si>
    <t xml:space="preserve">Text</t>
  </si>
  <si>
    <t xml:space="preserve">koerpernah / regulaer / locker / oversized</t>
  </si>
  <si>
    <t xml:space="preserve">ja</t>
  </si>
  <si>
    <t xml:space="preserve">Passform, wie der Artikel geschnitten ist</t>
  </si>
  <si>
    <t xml:space="preserve">schnitt_quelle</t>
  </si>
  <si>
    <t xml:space="preserve">automatisch / manuell / haendler</t>
  </si>
  <si>
    <t xml:space="preserve">woher der Schnitt stammt</t>
  </si>
  <si>
    <t xml:space="preserve">automatisch</t>
  </si>
  <si>
    <t xml:space="preserve">siehe Blatt Bereiche</t>
  </si>
  <si>
    <t xml:space="preserve">Tabellenzeile für die Bereiche</t>
  </si>
  <si>
    <t xml:space="preserve">material_dehnung_prozent</t>
  </si>
  <si>
    <t xml:space="preserve">Zahl</t>
  </si>
  <si>
    <t xml:space="preserve">0–200</t>
  </si>
  <si>
    <t xml:space="preserve">gemessene Querdehnung; Klasse wird berechnet</t>
  </si>
  <si>
    <t xml:space="preserve">3</t>
  </si>
  <si>
    <t xml:space="preserve">material_zusammensetzung</t>
  </si>
  <si>
    <t xml:space="preserve">frei</t>
  </si>
  <si>
    <t xml:space="preserve">nein</t>
  </si>
  <si>
    <t xml:space="preserve">vom Pflegeetikett</t>
  </si>
  <si>
    <t xml:space="preserve">97 % Baumwolle, 3 % Elastan</t>
  </si>
  <si>
    <t xml:space="preserve">tailliert</t>
  </si>
  <si>
    <t xml:space="preserve">Ja/Nein</t>
  </si>
  <si>
    <t xml:space="preserve">ja / nein</t>
  </si>
  <si>
    <t xml:space="preserve">bestimmt, ob die Taille gewertet wird</t>
  </si>
  <si>
    <t xml:space="preserve">bund_typ</t>
  </si>
  <si>
    <t xml:space="preserve">fest / stretch / gummizug</t>
  </si>
  <si>
    <t xml:space="preserve">nur Röcke und Hosen</t>
  </si>
  <si>
    <t xml:space="preserve">—</t>
  </si>
  <si>
    <t xml:space="preserve">aermel_typ</t>
  </si>
  <si>
    <t xml:space="preserve">eingesetzt / ueberschnitten / ohne</t>
  </si>
  <si>
    <t xml:space="preserve">nur Oberteile</t>
  </si>
  <si>
    <t xml:space="preserve">Schulter wird nur bei 'eingesetzt' gewertet</t>
  </si>
  <si>
    <t xml:space="preserve">eingesetzt</t>
  </si>
  <si>
    <t xml:space="preserve">messhoehe_brust_cm</t>
  </si>
  <si>
    <t xml:space="preserve">cm unter Armloch</t>
  </si>
  <si>
    <t xml:space="preserve">ja (Oberteile)</t>
  </si>
  <si>
    <t xml:space="preserve">Standard 2,5</t>
  </si>
  <si>
    <t xml:space="preserve">2,5</t>
  </si>
  <si>
    <t xml:space="preserve">garment_measurements</t>
  </si>
  <si>
    <t xml:space="preserve">Objekt</t>
  </si>
  <si>
    <t xml:space="preserve">je Größe, cm</t>
  </si>
  <si>
    <t xml:space="preserve">brust, taille, huefte, schulter, armlaenge, oberarm, oberschenkel, gesamtlaenge je nach Kategorie</t>
  </si>
  <si>
    <t xml:space="preserve">{'M': {'brust': 104, ...}}</t>
  </si>
  <si>
    <t xml:space="preserve">Rechenbeispiel: Bluse aus Webware mit 3 % Elastan, Kundin wählt 'regulär'</t>
  </si>
  <si>
    <t xml:space="preserve">Gelbe Zellen ändern, um andere Fälle durchzuspielen. Bereich: Webware Brust (Blatt Bereiche).</t>
  </si>
  <si>
    <t xml:space="preserve">Brustumfang Kundin (cm)</t>
  </si>
  <si>
    <t xml:space="preserve">Größensprung G des Artikels (cm)</t>
  </si>
  <si>
    <t xml:space="preserve">Ziel-Mitte regulär, Referenzgröße (cm)</t>
  </si>
  <si>
    <t xml:space="preserve">Dehnungsklasse des Stoffs</t>
  </si>
  <si>
    <t xml:space="preserve">Korrektur regulär (gemessen − Referenz 0)</t>
  </si>
  <si>
    <t xml:space="preserve">Ziel-Mitte umgerechnet + korrigiert (cm)</t>
  </si>
  <si>
    <t xml:space="preserve">Straffreie Zone ± (cm)</t>
  </si>
  <si>
    <t xml:space="preserve">Mindest-Mehrweite Klasse 1 (cm)</t>
  </si>
  <si>
    <t xml:space="preserve">Größe</t>
  </si>
  <si>
    <t xml:space="preserve">Kleidung Brust (cm)</t>
  </si>
  <si>
    <t xml:space="preserve">Mehrweite</t>
  </si>
  <si>
    <t xml:space="preserve">Abstand d</t>
  </si>
  <si>
    <t xml:space="preserve">Strafe</t>
  </si>
  <si>
    <t xml:space="preserve">38</t>
  </si>
  <si>
    <t xml:space="preserve">40</t>
  </si>
  <si>
    <t xml:space="preserve">42</t>
  </si>
  <si>
    <t xml:space="preserve">44</t>
  </si>
  <si>
    <t xml:space="preserve">Empfohlene Größe (niedrigste Strafe)</t>
  </si>
  <si>
    <t xml:space="preserve">Ablauf: Mitte nehmen → auf Kundin umrechnen → Dehnung korrigieren → Abstand außerhalb der Zone bestrafen (zu eng ×2) → niedrigste Strafe gewinnt. Bei mehreren Messpunkten werden die Strafen mit den Gewichten summiert.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</si>
</sst>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C3A4A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C3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3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rtikel_Felder" displayName="Artikel_Felder" ref="A1:F11" headerRowCount="1" totalsRowCount="0" totalsRowShown="0">
  <autoFilter ref="A1:F11"/>
  <tableColumns count="6">
    <tableColumn id="1" name="feld"/>
    <tableColumn id="2" name="typ"/>
    <tableColumn id="3" name="erlaubte_werte"/>
    <tableColumn id="4" name="pflicht"/>
    <tableColumn id="5" name="beschreibung"/>
    <tableColumn id="6" name="beispiel"/>
  </tableColumns>
</table>
</file>

<file path=xl/tables/table2.xml><?xml version="1.0" encoding="utf-8"?>
<table xmlns="http://schemas.openxmlformats.org/spreadsheetml/2006/main" id="2" name="Bereiche" displayName="Bereiche" ref="A1:K48" headerRowCount="1" totalsRowCount="0" totalsRowShown="0">
  <autoFilter ref="A1:K48"/>
  <tableColumns count="11">
    <tableColumn id="1" name="kategorie_id"/>
    <tableColumn id="2" name="kategorie"/>
    <tableColumn id="3" name="messpunkt"/>
    <tableColumn id="4" name="passform"/>
    <tableColumn id="5" name="unter"/>
    <tableColumn id="6" name="ober"/>
    <tableColumn id="7" name="mitte"/>
    <tableColumn id="8" name="einheit"/>
    <tableColumn id="9" name="referenz_dehnungsklasse"/>
    <tableColumn id="10" name="vertrauen"/>
    <tableColumn id="11" name="quelle"/>
  </tableColumns>
</table>
</file>

<file path=xl/tables/table3.xml><?xml version="1.0" encoding="utf-8"?>
<table xmlns="http://schemas.openxmlformats.org/spreadsheetml/2006/main" id="3" name="Dehnungsklassen" displayName="Dehnungsklassen" ref="A1:F6" headerRowCount="1" totalsRowCount="0" totalsRowShown="0">
  <autoFilter ref="A1:F6"/>
  <tableColumns count="6">
    <tableColumn id="1" name="klasse"/>
    <tableColumn id="2" name="name"/>
    <tableColumn id="3" name="dehnung_von"/>
    <tableColumn id="4" name="dehnung_bis"/>
    <tableColumn id="5" name="beispiele"/>
    <tableColumn id="6" name="mindest_regel"/>
  </tableColumns>
</table>
</file>

<file path=xl/tables/table4.xml><?xml version="1.0" encoding="utf-8"?>
<table xmlns="http://schemas.openxmlformats.org/spreadsheetml/2006/main" id="4" name="Dehnungskorrektur" displayName="Dehnungskorrektur" ref="A1:F6" headerRowCount="1" totalsRowCount="0" totalsRowShown="0">
  <autoFilter ref="A1:F6"/>
  <tableColumns count="6">
    <tableColumn id="1" name="klasse"/>
    <tableColumn id="2" name="koerpernah"/>
    <tableColumn id="3" name="regulaer"/>
    <tableColumn id="4" name="locker"/>
    <tableColumn id="5" name="oversized"/>
    <tableColumn id="6" name="hinweis"/>
  </tableColumns>
</table>
</file>

<file path=xl/tables/table5.xml><?xml version="1.0" encoding="utf-8"?>
<table xmlns="http://schemas.openxmlformats.org/spreadsheetml/2006/main" id="5" name="Gewichte" displayName="Gewichte" ref="A1:G6" headerRowCount="1" totalsRowCount="0" totalsRowShown="0">
  <autoFilter ref="A1:G6"/>
  <tableColumns count="7">
    <tableColumn id="1" name="kategorie"/>
    <tableColumn id="2" name="brust"/>
    <tableColumn id="3" name="taille"/>
    <tableColumn id="4" name="huefte"/>
    <tableColumn id="5" name="oberschenkel"/>
    <tableColumn id="6" name="oberarm"/>
    <tableColumn id="7" name="hinweis"/>
  </tableColumns>
</table>
</file>

<file path=xl/tables/table6.xml><?xml version="1.0" encoding="utf-8"?>
<table xmlns="http://schemas.openxmlformats.org/spreadsheetml/2006/main" id="6" name="Mindest" displayName="Mindest" ref="A1:F13" headerRowCount="1" totalsRowCount="0" totalsRowShown="0">
  <autoFilter ref="A1:F13"/>
  <tableColumns count="6">
    <tableColumn id="1" name="kategorie_id"/>
    <tableColumn id="2" name="messpunkt"/>
    <tableColumn id="3" name="mindest_cm_klasse0"/>
    <tableColumn id="4" name="hinweis"/>
    <tableColumn id="5" name="quelle"/>
    <tableColumn id="6" name="vertrauen"/>
  </tableColumns>
</table>
</file>

<file path=xl/tables/table7.xml><?xml version="1.0" encoding="utf-8"?>
<table xmlns="http://schemas.openxmlformats.org/spreadsheetml/2006/main" id="7" name="Parameter" displayName="Parameter" ref="A1:F38" headerRowCount="1" totalsRowCount="0" totalsRowShown="0">
  <autoFilter ref="A1:F38"/>
  <tableColumns count="6">
    <tableColumn id="1" name="gruppe"/>
    <tableColumn id="2" name="schluessel"/>
    <tableColumn id="3" name="wert"/>
    <tableColumn id="4" name="einheit"/>
    <tableColumn id="5" name="bedeutung"/>
    <tableColumn id="6" name="vertraue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26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26.8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26.8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  <row r="23" customFormat="false" ht="26.85" hidden="false" customHeight="false" outlineLevel="0" collapsed="false">
      <c r="A2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4" min="3" style="0" width="13"/>
    <col collapsed="false" customWidth="true" hidden="false" outlineLevel="0" max="7" min="5" style="0" width="9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46"/>
  </cols>
  <sheetData>
    <row r="1" customFormat="false" ht="52.2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</row>
    <row r="2" customFormat="false" ht="26.85" hidden="false" customHeight="false" outlineLevel="0" collapsed="false">
      <c r="A2" s="5" t="s">
        <v>29</v>
      </c>
      <c r="B2" s="5" t="s">
        <v>30</v>
      </c>
      <c r="C2" s="5" t="s">
        <v>31</v>
      </c>
      <c r="D2" s="5" t="s">
        <v>32</v>
      </c>
      <c r="E2" s="6" t="n">
        <v>4</v>
      </c>
      <c r="F2" s="6" t="n">
        <v>8</v>
      </c>
      <c r="G2" s="5" t="n">
        <f aca="false">(E2+F2)/2</f>
        <v>6</v>
      </c>
      <c r="H2" s="5" t="s">
        <v>33</v>
      </c>
      <c r="I2" s="6" t="n">
        <v>0</v>
      </c>
      <c r="J2" s="5" t="s">
        <v>34</v>
      </c>
      <c r="K2" s="5" t="s">
        <v>35</v>
      </c>
    </row>
    <row r="3" customFormat="false" ht="26.85" hidden="false" customHeight="false" outlineLevel="0" collapsed="false">
      <c r="A3" s="5" t="s">
        <v>29</v>
      </c>
      <c r="B3" s="5" t="s">
        <v>30</v>
      </c>
      <c r="C3" s="5" t="s">
        <v>31</v>
      </c>
      <c r="D3" s="5" t="s">
        <v>36</v>
      </c>
      <c r="E3" s="6" t="n">
        <v>8</v>
      </c>
      <c r="F3" s="6" t="n">
        <v>12</v>
      </c>
      <c r="G3" s="5" t="n">
        <f aca="false">(E3+F3)/2</f>
        <v>10</v>
      </c>
      <c r="H3" s="5" t="s">
        <v>33</v>
      </c>
      <c r="I3" s="6" t="n">
        <v>0</v>
      </c>
      <c r="J3" s="5" t="s">
        <v>34</v>
      </c>
      <c r="K3" s="5" t="s">
        <v>35</v>
      </c>
    </row>
    <row r="4" customFormat="false" ht="26.85" hidden="false" customHeight="false" outlineLevel="0" collapsed="false">
      <c r="A4" s="5" t="s">
        <v>29</v>
      </c>
      <c r="B4" s="5" t="s">
        <v>30</v>
      </c>
      <c r="C4" s="5" t="s">
        <v>31</v>
      </c>
      <c r="D4" s="5" t="s">
        <v>37</v>
      </c>
      <c r="E4" s="6" t="n">
        <v>12</v>
      </c>
      <c r="F4" s="6" t="n">
        <v>18</v>
      </c>
      <c r="G4" s="5" t="n">
        <f aca="false">(E4+F4)/2</f>
        <v>15</v>
      </c>
      <c r="H4" s="5" t="s">
        <v>33</v>
      </c>
      <c r="I4" s="6" t="n">
        <v>0</v>
      </c>
      <c r="J4" s="5" t="s">
        <v>34</v>
      </c>
      <c r="K4" s="5" t="s">
        <v>35</v>
      </c>
    </row>
    <row r="5" customFormat="false" ht="26.85" hidden="false" customHeight="false" outlineLevel="0" collapsed="false">
      <c r="A5" s="5" t="s">
        <v>29</v>
      </c>
      <c r="B5" s="5" t="s">
        <v>30</v>
      </c>
      <c r="C5" s="5" t="s">
        <v>31</v>
      </c>
      <c r="D5" s="5" t="s">
        <v>38</v>
      </c>
      <c r="E5" s="6" t="n">
        <v>18</v>
      </c>
      <c r="F5" s="6" t="n">
        <v>28</v>
      </c>
      <c r="G5" s="5" t="n">
        <f aca="false">(E5+F5)/2</f>
        <v>23</v>
      </c>
      <c r="H5" s="5" t="s">
        <v>33</v>
      </c>
      <c r="I5" s="6" t="n">
        <v>0</v>
      </c>
      <c r="J5" s="5" t="s">
        <v>34</v>
      </c>
      <c r="K5" s="5" t="s">
        <v>35</v>
      </c>
    </row>
    <row r="6" customFormat="false" ht="15" hidden="false" customHeight="false" outlineLevel="0" collapsed="false">
      <c r="A6" s="5" t="s">
        <v>39</v>
      </c>
      <c r="B6" s="5" t="s">
        <v>40</v>
      </c>
      <c r="C6" s="5" t="s">
        <v>31</v>
      </c>
      <c r="D6" s="5" t="s">
        <v>32</v>
      </c>
      <c r="E6" s="6" t="n">
        <v>-4</v>
      </c>
      <c r="F6" s="6" t="n">
        <v>2</v>
      </c>
      <c r="G6" s="5" t="n">
        <f aca="false">(E6+F6)/2</f>
        <v>-1</v>
      </c>
      <c r="H6" s="5" t="s">
        <v>33</v>
      </c>
      <c r="I6" s="6" t="n">
        <v>2</v>
      </c>
      <c r="J6" s="5" t="s">
        <v>41</v>
      </c>
      <c r="K6" s="5" t="s">
        <v>42</v>
      </c>
    </row>
    <row r="7" customFormat="false" ht="15" hidden="false" customHeight="false" outlineLevel="0" collapsed="false">
      <c r="A7" s="5" t="s">
        <v>39</v>
      </c>
      <c r="B7" s="5" t="s">
        <v>40</v>
      </c>
      <c r="C7" s="5" t="s">
        <v>31</v>
      </c>
      <c r="D7" s="5" t="s">
        <v>36</v>
      </c>
      <c r="E7" s="6" t="n">
        <v>2</v>
      </c>
      <c r="F7" s="6" t="n">
        <v>8</v>
      </c>
      <c r="G7" s="5" t="n">
        <f aca="false">(E7+F7)/2</f>
        <v>5</v>
      </c>
      <c r="H7" s="5" t="s">
        <v>33</v>
      </c>
      <c r="I7" s="6" t="n">
        <v>2</v>
      </c>
      <c r="J7" s="5" t="s">
        <v>41</v>
      </c>
      <c r="K7" s="5" t="s">
        <v>42</v>
      </c>
    </row>
    <row r="8" customFormat="false" ht="15" hidden="false" customHeight="false" outlineLevel="0" collapsed="false">
      <c r="A8" s="5" t="s">
        <v>39</v>
      </c>
      <c r="B8" s="5" t="s">
        <v>40</v>
      </c>
      <c r="C8" s="5" t="s">
        <v>31</v>
      </c>
      <c r="D8" s="5" t="s">
        <v>37</v>
      </c>
      <c r="E8" s="6" t="n">
        <v>8</v>
      </c>
      <c r="F8" s="6" t="n">
        <v>16</v>
      </c>
      <c r="G8" s="5" t="n">
        <f aca="false">(E8+F8)/2</f>
        <v>12</v>
      </c>
      <c r="H8" s="5" t="s">
        <v>33</v>
      </c>
      <c r="I8" s="6" t="n">
        <v>2</v>
      </c>
      <c r="J8" s="5" t="s">
        <v>41</v>
      </c>
      <c r="K8" s="5" t="s">
        <v>42</v>
      </c>
    </row>
    <row r="9" customFormat="false" ht="15" hidden="false" customHeight="false" outlineLevel="0" collapsed="false">
      <c r="A9" s="5" t="s">
        <v>39</v>
      </c>
      <c r="B9" s="5" t="s">
        <v>40</v>
      </c>
      <c r="C9" s="5" t="s">
        <v>31</v>
      </c>
      <c r="D9" s="5" t="s">
        <v>38</v>
      </c>
      <c r="E9" s="6" t="n">
        <v>16</v>
      </c>
      <c r="F9" s="6" t="n">
        <v>26</v>
      </c>
      <c r="G9" s="5" t="n">
        <f aca="false">(E9+F9)/2</f>
        <v>21</v>
      </c>
      <c r="H9" s="5" t="s">
        <v>33</v>
      </c>
      <c r="I9" s="6" t="n">
        <v>2</v>
      </c>
      <c r="J9" s="5" t="s">
        <v>41</v>
      </c>
      <c r="K9" s="5" t="s">
        <v>42</v>
      </c>
    </row>
    <row r="10" customFormat="false" ht="15" hidden="false" customHeight="false" outlineLevel="0" collapsed="false">
      <c r="A10" s="5" t="s">
        <v>43</v>
      </c>
      <c r="B10" s="5" t="s">
        <v>44</v>
      </c>
      <c r="C10" s="5" t="s">
        <v>31</v>
      </c>
      <c r="D10" s="5" t="s">
        <v>32</v>
      </c>
      <c r="E10" s="6" t="n">
        <v>-4</v>
      </c>
      <c r="F10" s="6" t="n">
        <v>2</v>
      </c>
      <c r="G10" s="5" t="n">
        <f aca="false">(E10+F10)/2</f>
        <v>-1</v>
      </c>
      <c r="H10" s="5" t="s">
        <v>33</v>
      </c>
      <c r="I10" s="6" t="n">
        <v>2</v>
      </c>
      <c r="J10" s="5" t="s">
        <v>45</v>
      </c>
      <c r="K10" s="5" t="s">
        <v>46</v>
      </c>
    </row>
    <row r="11" customFormat="false" ht="15" hidden="false" customHeight="false" outlineLevel="0" collapsed="false">
      <c r="A11" s="5" t="s">
        <v>43</v>
      </c>
      <c r="B11" s="5" t="s">
        <v>44</v>
      </c>
      <c r="C11" s="5" t="s">
        <v>31</v>
      </c>
      <c r="D11" s="5" t="s">
        <v>36</v>
      </c>
      <c r="E11" s="6" t="n">
        <v>2</v>
      </c>
      <c r="F11" s="6" t="n">
        <v>10</v>
      </c>
      <c r="G11" s="5" t="n">
        <f aca="false">(E11+F11)/2</f>
        <v>6</v>
      </c>
      <c r="H11" s="5" t="s">
        <v>33</v>
      </c>
      <c r="I11" s="6" t="n">
        <v>2</v>
      </c>
      <c r="J11" s="5" t="s">
        <v>45</v>
      </c>
      <c r="K11" s="5" t="s">
        <v>46</v>
      </c>
    </row>
    <row r="12" customFormat="false" ht="15" hidden="false" customHeight="false" outlineLevel="0" collapsed="false">
      <c r="A12" s="5" t="s">
        <v>43</v>
      </c>
      <c r="B12" s="5" t="s">
        <v>44</v>
      </c>
      <c r="C12" s="5" t="s">
        <v>31</v>
      </c>
      <c r="D12" s="5" t="s">
        <v>37</v>
      </c>
      <c r="E12" s="6" t="n">
        <v>10</v>
      </c>
      <c r="F12" s="6" t="n">
        <v>18</v>
      </c>
      <c r="G12" s="5" t="n">
        <f aca="false">(E12+F12)/2</f>
        <v>14</v>
      </c>
      <c r="H12" s="5" t="s">
        <v>33</v>
      </c>
      <c r="I12" s="6" t="n">
        <v>2</v>
      </c>
      <c r="J12" s="5" t="s">
        <v>45</v>
      </c>
      <c r="K12" s="5" t="s">
        <v>46</v>
      </c>
    </row>
    <row r="13" customFormat="false" ht="15" hidden="false" customHeight="false" outlineLevel="0" collapsed="false">
      <c r="A13" s="5" t="s">
        <v>43</v>
      </c>
      <c r="B13" s="5" t="s">
        <v>44</v>
      </c>
      <c r="C13" s="5" t="s">
        <v>31</v>
      </c>
      <c r="D13" s="5" t="s">
        <v>38</v>
      </c>
      <c r="E13" s="6" t="n">
        <v>18</v>
      </c>
      <c r="F13" s="6" t="n">
        <v>30</v>
      </c>
      <c r="G13" s="5" t="n">
        <f aca="false">(E13+F13)/2</f>
        <v>24</v>
      </c>
      <c r="H13" s="5" t="s">
        <v>33</v>
      </c>
      <c r="I13" s="6" t="n">
        <v>2</v>
      </c>
      <c r="J13" s="5" t="s">
        <v>45</v>
      </c>
      <c r="K13" s="5" t="s">
        <v>46</v>
      </c>
    </row>
    <row r="14" customFormat="false" ht="15" hidden="false" customHeight="false" outlineLevel="0" collapsed="false">
      <c r="A14" s="5" t="s">
        <v>47</v>
      </c>
      <c r="B14" s="5" t="s">
        <v>48</v>
      </c>
      <c r="C14" s="5" t="s">
        <v>31</v>
      </c>
      <c r="D14" s="5" t="s">
        <v>32</v>
      </c>
      <c r="E14" s="6" t="n">
        <v>8</v>
      </c>
      <c r="F14" s="6" t="n">
        <v>11</v>
      </c>
      <c r="G14" s="5" t="n">
        <f aca="false">(E14+F14)/2</f>
        <v>9.5</v>
      </c>
      <c r="H14" s="5" t="s">
        <v>33</v>
      </c>
      <c r="I14" s="6" t="n">
        <v>0</v>
      </c>
      <c r="J14" s="5" t="s">
        <v>49</v>
      </c>
      <c r="K14" s="5" t="s">
        <v>50</v>
      </c>
    </row>
    <row r="15" customFormat="false" ht="15" hidden="false" customHeight="false" outlineLevel="0" collapsed="false">
      <c r="A15" s="5" t="s">
        <v>47</v>
      </c>
      <c r="B15" s="5" t="s">
        <v>48</v>
      </c>
      <c r="C15" s="5" t="s">
        <v>31</v>
      </c>
      <c r="D15" s="5" t="s">
        <v>36</v>
      </c>
      <c r="E15" s="6" t="n">
        <v>11</v>
      </c>
      <c r="F15" s="6" t="n">
        <v>15</v>
      </c>
      <c r="G15" s="5" t="n">
        <f aca="false">(E15+F15)/2</f>
        <v>13</v>
      </c>
      <c r="H15" s="5" t="s">
        <v>33</v>
      </c>
      <c r="I15" s="6" t="n">
        <v>0</v>
      </c>
      <c r="J15" s="5" t="s">
        <v>49</v>
      </c>
      <c r="K15" s="5" t="s">
        <v>50</v>
      </c>
    </row>
    <row r="16" customFormat="false" ht="15" hidden="false" customHeight="false" outlineLevel="0" collapsed="false">
      <c r="A16" s="5" t="s">
        <v>47</v>
      </c>
      <c r="B16" s="5" t="s">
        <v>48</v>
      </c>
      <c r="C16" s="5" t="s">
        <v>31</v>
      </c>
      <c r="D16" s="5" t="s">
        <v>37</v>
      </c>
      <c r="E16" s="6" t="n">
        <v>15</v>
      </c>
      <c r="F16" s="6" t="n">
        <v>22</v>
      </c>
      <c r="G16" s="5" t="n">
        <f aca="false">(E16+F16)/2</f>
        <v>18.5</v>
      </c>
      <c r="H16" s="5" t="s">
        <v>33</v>
      </c>
      <c r="I16" s="6" t="n">
        <v>0</v>
      </c>
      <c r="J16" s="5" t="s">
        <v>49</v>
      </c>
      <c r="K16" s="5" t="s">
        <v>50</v>
      </c>
    </row>
    <row r="17" customFormat="false" ht="15" hidden="false" customHeight="false" outlineLevel="0" collapsed="false">
      <c r="A17" s="5" t="s">
        <v>47</v>
      </c>
      <c r="B17" s="5" t="s">
        <v>48</v>
      </c>
      <c r="C17" s="5" t="s">
        <v>31</v>
      </c>
      <c r="D17" s="5" t="s">
        <v>38</v>
      </c>
      <c r="E17" s="6" t="n">
        <v>22</v>
      </c>
      <c r="F17" s="6" t="n">
        <v>32</v>
      </c>
      <c r="G17" s="5" t="n">
        <f aca="false">(E17+F17)/2</f>
        <v>27</v>
      </c>
      <c r="H17" s="5" t="s">
        <v>33</v>
      </c>
      <c r="I17" s="6" t="n">
        <v>0</v>
      </c>
      <c r="J17" s="5" t="s">
        <v>49</v>
      </c>
      <c r="K17" s="5" t="s">
        <v>50</v>
      </c>
    </row>
    <row r="18" customFormat="false" ht="15" hidden="false" customHeight="false" outlineLevel="0" collapsed="false">
      <c r="A18" s="5" t="s">
        <v>51</v>
      </c>
      <c r="B18" s="5" t="s">
        <v>52</v>
      </c>
      <c r="C18" s="5" t="s">
        <v>31</v>
      </c>
      <c r="D18" s="5" t="s">
        <v>32</v>
      </c>
      <c r="E18" s="6" t="n">
        <v>13</v>
      </c>
      <c r="F18" s="6" t="n">
        <v>17</v>
      </c>
      <c r="G18" s="5" t="n">
        <f aca="false">(E18+F18)/2</f>
        <v>15</v>
      </c>
      <c r="H18" s="5" t="s">
        <v>33</v>
      </c>
      <c r="I18" s="6" t="n">
        <v>0</v>
      </c>
      <c r="J18" s="5" t="s">
        <v>49</v>
      </c>
      <c r="K18" s="5" t="s">
        <v>53</v>
      </c>
    </row>
    <row r="19" customFormat="false" ht="15" hidden="false" customHeight="false" outlineLevel="0" collapsed="false">
      <c r="A19" s="5" t="s">
        <v>51</v>
      </c>
      <c r="B19" s="5" t="s">
        <v>52</v>
      </c>
      <c r="C19" s="5" t="s">
        <v>31</v>
      </c>
      <c r="D19" s="5" t="s">
        <v>36</v>
      </c>
      <c r="E19" s="6" t="n">
        <v>17</v>
      </c>
      <c r="F19" s="6" t="n">
        <v>21</v>
      </c>
      <c r="G19" s="5" t="n">
        <f aca="false">(E19+F19)/2</f>
        <v>19</v>
      </c>
      <c r="H19" s="5" t="s">
        <v>33</v>
      </c>
      <c r="I19" s="6" t="n">
        <v>0</v>
      </c>
      <c r="J19" s="5" t="s">
        <v>49</v>
      </c>
      <c r="K19" s="5" t="s">
        <v>53</v>
      </c>
    </row>
    <row r="20" customFormat="false" ht="15" hidden="false" customHeight="false" outlineLevel="0" collapsed="false">
      <c r="A20" s="5" t="s">
        <v>51</v>
      </c>
      <c r="B20" s="5" t="s">
        <v>52</v>
      </c>
      <c r="C20" s="5" t="s">
        <v>31</v>
      </c>
      <c r="D20" s="5" t="s">
        <v>37</v>
      </c>
      <c r="E20" s="6" t="n">
        <v>21</v>
      </c>
      <c r="F20" s="6" t="n">
        <v>30</v>
      </c>
      <c r="G20" s="5" t="n">
        <f aca="false">(E20+F20)/2</f>
        <v>25.5</v>
      </c>
      <c r="H20" s="5" t="s">
        <v>33</v>
      </c>
      <c r="I20" s="6" t="n">
        <v>0</v>
      </c>
      <c r="J20" s="5" t="s">
        <v>49</v>
      </c>
      <c r="K20" s="5" t="s">
        <v>53</v>
      </c>
    </row>
    <row r="21" customFormat="false" ht="15" hidden="false" customHeight="false" outlineLevel="0" collapsed="false">
      <c r="A21" s="5" t="s">
        <v>51</v>
      </c>
      <c r="B21" s="5" t="s">
        <v>52</v>
      </c>
      <c r="C21" s="5" t="s">
        <v>31</v>
      </c>
      <c r="D21" s="5" t="s">
        <v>38</v>
      </c>
      <c r="E21" s="6" t="n">
        <v>30</v>
      </c>
      <c r="F21" s="6" t="n">
        <v>40</v>
      </c>
      <c r="G21" s="5" t="n">
        <f aca="false">(E21+F21)/2</f>
        <v>35</v>
      </c>
      <c r="H21" s="5" t="s">
        <v>33</v>
      </c>
      <c r="I21" s="6" t="n">
        <v>0</v>
      </c>
      <c r="J21" s="5" t="s">
        <v>49</v>
      </c>
      <c r="K21" s="5" t="s">
        <v>53</v>
      </c>
    </row>
    <row r="22" customFormat="false" ht="26.85" hidden="false" customHeight="false" outlineLevel="0" collapsed="false">
      <c r="A22" s="5" t="s">
        <v>54</v>
      </c>
      <c r="B22" s="5" t="s">
        <v>55</v>
      </c>
      <c r="C22" s="5" t="s">
        <v>56</v>
      </c>
      <c r="D22" s="5" t="s">
        <v>32</v>
      </c>
      <c r="E22" s="6" t="n">
        <v>2</v>
      </c>
      <c r="F22" s="6" t="n">
        <v>4</v>
      </c>
      <c r="G22" s="5" t="n">
        <f aca="false">(E22+F22)/2</f>
        <v>3</v>
      </c>
      <c r="H22" s="5" t="s">
        <v>33</v>
      </c>
      <c r="I22" s="6" t="n">
        <v>0</v>
      </c>
      <c r="J22" s="5" t="s">
        <v>41</v>
      </c>
      <c r="K22" s="5" t="s">
        <v>57</v>
      </c>
    </row>
    <row r="23" customFormat="false" ht="26.85" hidden="false" customHeight="false" outlineLevel="0" collapsed="false">
      <c r="A23" s="5" t="s">
        <v>54</v>
      </c>
      <c r="B23" s="5" t="s">
        <v>55</v>
      </c>
      <c r="C23" s="5" t="s">
        <v>56</v>
      </c>
      <c r="D23" s="5" t="s">
        <v>36</v>
      </c>
      <c r="E23" s="6" t="n">
        <v>4</v>
      </c>
      <c r="F23" s="6" t="n">
        <v>8</v>
      </c>
      <c r="G23" s="5" t="n">
        <f aca="false">(E23+F23)/2</f>
        <v>6</v>
      </c>
      <c r="H23" s="5" t="s">
        <v>33</v>
      </c>
      <c r="I23" s="6" t="n">
        <v>0</v>
      </c>
      <c r="J23" s="5" t="s">
        <v>41</v>
      </c>
      <c r="K23" s="5" t="s">
        <v>57</v>
      </c>
    </row>
    <row r="24" customFormat="false" ht="26.85" hidden="false" customHeight="false" outlineLevel="0" collapsed="false">
      <c r="A24" s="5" t="s">
        <v>54</v>
      </c>
      <c r="B24" s="5" t="s">
        <v>55</v>
      </c>
      <c r="C24" s="5" t="s">
        <v>56</v>
      </c>
      <c r="D24" s="5" t="s">
        <v>37</v>
      </c>
      <c r="E24" s="6" t="n">
        <v>8</v>
      </c>
      <c r="F24" s="6" t="n">
        <v>14</v>
      </c>
      <c r="G24" s="5" t="n">
        <f aca="false">(E24+F24)/2</f>
        <v>11</v>
      </c>
      <c r="H24" s="5" t="s">
        <v>33</v>
      </c>
      <c r="I24" s="6" t="n">
        <v>0</v>
      </c>
      <c r="J24" s="5" t="s">
        <v>41</v>
      </c>
      <c r="K24" s="5" t="s">
        <v>57</v>
      </c>
    </row>
    <row r="25" customFormat="false" ht="26.85" hidden="false" customHeight="false" outlineLevel="0" collapsed="false">
      <c r="A25" s="5" t="s">
        <v>58</v>
      </c>
      <c r="B25" s="5" t="s">
        <v>59</v>
      </c>
      <c r="C25" s="5" t="s">
        <v>56</v>
      </c>
      <c r="D25" s="5" t="s">
        <v>32</v>
      </c>
      <c r="E25" s="6" t="n">
        <v>1</v>
      </c>
      <c r="F25" s="6" t="n">
        <v>3</v>
      </c>
      <c r="G25" s="5" t="n">
        <f aca="false">(E25+F25)/2</f>
        <v>2</v>
      </c>
      <c r="H25" s="5" t="s">
        <v>33</v>
      </c>
      <c r="I25" s="6" t="n">
        <v>0</v>
      </c>
      <c r="J25" s="5" t="s">
        <v>49</v>
      </c>
      <c r="K25" s="5" t="s">
        <v>60</v>
      </c>
    </row>
    <row r="26" customFormat="false" ht="26.85" hidden="false" customHeight="false" outlineLevel="0" collapsed="false">
      <c r="A26" s="5" t="s">
        <v>58</v>
      </c>
      <c r="B26" s="5" t="s">
        <v>59</v>
      </c>
      <c r="C26" s="5" t="s">
        <v>56</v>
      </c>
      <c r="D26" s="5" t="s">
        <v>36</v>
      </c>
      <c r="E26" s="6" t="n">
        <v>1</v>
      </c>
      <c r="F26" s="6" t="n">
        <v>3</v>
      </c>
      <c r="G26" s="5" t="n">
        <f aca="false">(E26+F26)/2</f>
        <v>2</v>
      </c>
      <c r="H26" s="5" t="s">
        <v>33</v>
      </c>
      <c r="I26" s="6" t="n">
        <v>0</v>
      </c>
      <c r="J26" s="5" t="s">
        <v>49</v>
      </c>
      <c r="K26" s="5" t="s">
        <v>60</v>
      </c>
    </row>
    <row r="27" customFormat="false" ht="26.85" hidden="false" customHeight="false" outlineLevel="0" collapsed="false">
      <c r="A27" s="5" t="s">
        <v>58</v>
      </c>
      <c r="B27" s="5" t="s">
        <v>59</v>
      </c>
      <c r="C27" s="5" t="s">
        <v>56</v>
      </c>
      <c r="D27" s="5" t="s">
        <v>37</v>
      </c>
      <c r="E27" s="6" t="n">
        <v>2</v>
      </c>
      <c r="F27" s="6" t="n">
        <v>4</v>
      </c>
      <c r="G27" s="5" t="n">
        <f aca="false">(E27+F27)/2</f>
        <v>3</v>
      </c>
      <c r="H27" s="5" t="s">
        <v>33</v>
      </c>
      <c r="I27" s="6" t="n">
        <v>0</v>
      </c>
      <c r="J27" s="5" t="s">
        <v>49</v>
      </c>
      <c r="K27" s="5" t="s">
        <v>60</v>
      </c>
    </row>
    <row r="28" customFormat="false" ht="26.85" hidden="false" customHeight="false" outlineLevel="0" collapsed="false">
      <c r="A28" s="5" t="s">
        <v>58</v>
      </c>
      <c r="B28" s="5" t="s">
        <v>59</v>
      </c>
      <c r="C28" s="5" t="s">
        <v>56</v>
      </c>
      <c r="D28" s="5" t="s">
        <v>38</v>
      </c>
      <c r="E28" s="6" t="n">
        <v>2</v>
      </c>
      <c r="F28" s="6" t="n">
        <v>5</v>
      </c>
      <c r="G28" s="5" t="n">
        <f aca="false">(E28+F28)/2</f>
        <v>3.5</v>
      </c>
      <c r="H28" s="5" t="s">
        <v>33</v>
      </c>
      <c r="I28" s="6" t="n">
        <v>0</v>
      </c>
      <c r="J28" s="5" t="s">
        <v>49</v>
      </c>
      <c r="K28" s="5" t="s">
        <v>60</v>
      </c>
    </row>
    <row r="29" customFormat="false" ht="26.85" hidden="false" customHeight="false" outlineLevel="0" collapsed="false">
      <c r="A29" s="5" t="s">
        <v>61</v>
      </c>
      <c r="B29" s="5" t="s">
        <v>62</v>
      </c>
      <c r="C29" s="5" t="s">
        <v>56</v>
      </c>
      <c r="D29" s="5" t="s">
        <v>32</v>
      </c>
      <c r="E29" s="6" t="n">
        <v>-1</v>
      </c>
      <c r="F29" s="6" t="n">
        <v>1</v>
      </c>
      <c r="G29" s="5" t="n">
        <f aca="false">(E29+F29)/2</f>
        <v>0</v>
      </c>
      <c r="H29" s="5" t="s">
        <v>33</v>
      </c>
      <c r="I29" s="6" t="n">
        <v>1</v>
      </c>
      <c r="J29" s="5" t="s">
        <v>63</v>
      </c>
      <c r="K29" s="5" t="s">
        <v>64</v>
      </c>
    </row>
    <row r="30" customFormat="false" ht="26.85" hidden="false" customHeight="false" outlineLevel="0" collapsed="false">
      <c r="A30" s="5" t="s">
        <v>61</v>
      </c>
      <c r="B30" s="5" t="s">
        <v>62</v>
      </c>
      <c r="C30" s="5" t="s">
        <v>56</v>
      </c>
      <c r="D30" s="5" t="s">
        <v>36</v>
      </c>
      <c r="E30" s="6" t="n">
        <v>0</v>
      </c>
      <c r="F30" s="6" t="n">
        <v>2</v>
      </c>
      <c r="G30" s="5" t="n">
        <f aca="false">(E30+F30)/2</f>
        <v>1</v>
      </c>
      <c r="H30" s="5" t="s">
        <v>33</v>
      </c>
      <c r="I30" s="6" t="n">
        <v>1</v>
      </c>
      <c r="J30" s="5" t="s">
        <v>63</v>
      </c>
      <c r="K30" s="5" t="s">
        <v>64</v>
      </c>
    </row>
    <row r="31" customFormat="false" ht="26.85" hidden="false" customHeight="false" outlineLevel="0" collapsed="false">
      <c r="A31" s="5" t="s">
        <v>61</v>
      </c>
      <c r="B31" s="5" t="s">
        <v>62</v>
      </c>
      <c r="C31" s="5" t="s">
        <v>56</v>
      </c>
      <c r="D31" s="5" t="s">
        <v>37</v>
      </c>
      <c r="E31" s="6" t="n">
        <v>1</v>
      </c>
      <c r="F31" s="6" t="n">
        <v>3</v>
      </c>
      <c r="G31" s="5" t="n">
        <f aca="false">(E31+F31)/2</f>
        <v>2</v>
      </c>
      <c r="H31" s="5" t="s">
        <v>33</v>
      </c>
      <c r="I31" s="6" t="n">
        <v>1</v>
      </c>
      <c r="J31" s="5" t="s">
        <v>63</v>
      </c>
      <c r="K31" s="5" t="s">
        <v>64</v>
      </c>
    </row>
    <row r="32" customFormat="false" ht="26.85" hidden="false" customHeight="false" outlineLevel="0" collapsed="false">
      <c r="A32" s="5" t="s">
        <v>65</v>
      </c>
      <c r="B32" s="5" t="s">
        <v>66</v>
      </c>
      <c r="C32" s="5" t="s">
        <v>67</v>
      </c>
      <c r="D32" s="5" t="s">
        <v>32</v>
      </c>
      <c r="E32" s="6" t="n">
        <v>4</v>
      </c>
      <c r="F32" s="6" t="n">
        <v>7</v>
      </c>
      <c r="G32" s="5" t="n">
        <f aca="false">(E32+F32)/2</f>
        <v>5.5</v>
      </c>
      <c r="H32" s="5" t="s">
        <v>33</v>
      </c>
      <c r="I32" s="6" t="n">
        <v>0</v>
      </c>
      <c r="J32" s="5" t="s">
        <v>49</v>
      </c>
      <c r="K32" s="5" t="s">
        <v>68</v>
      </c>
    </row>
    <row r="33" customFormat="false" ht="26.85" hidden="false" customHeight="false" outlineLevel="0" collapsed="false">
      <c r="A33" s="5" t="s">
        <v>65</v>
      </c>
      <c r="B33" s="5" t="s">
        <v>66</v>
      </c>
      <c r="C33" s="5" t="s">
        <v>67</v>
      </c>
      <c r="D33" s="5" t="s">
        <v>36</v>
      </c>
      <c r="E33" s="6" t="n">
        <v>7</v>
      </c>
      <c r="F33" s="6" t="n">
        <v>11</v>
      </c>
      <c r="G33" s="5" t="n">
        <f aca="false">(E33+F33)/2</f>
        <v>9</v>
      </c>
      <c r="H33" s="5" t="s">
        <v>33</v>
      </c>
      <c r="I33" s="6" t="n">
        <v>0</v>
      </c>
      <c r="J33" s="5" t="s">
        <v>49</v>
      </c>
      <c r="K33" s="5" t="s">
        <v>68</v>
      </c>
    </row>
    <row r="34" customFormat="false" ht="26.85" hidden="false" customHeight="false" outlineLevel="0" collapsed="false">
      <c r="A34" s="5" t="s">
        <v>65</v>
      </c>
      <c r="B34" s="5" t="s">
        <v>66</v>
      </c>
      <c r="C34" s="5" t="s">
        <v>67</v>
      </c>
      <c r="D34" s="5" t="s">
        <v>37</v>
      </c>
      <c r="E34" s="6" t="n">
        <v>11</v>
      </c>
      <c r="F34" s="6" t="n">
        <v>16</v>
      </c>
      <c r="G34" s="5" t="n">
        <f aca="false">(E34+F34)/2</f>
        <v>13.5</v>
      </c>
      <c r="H34" s="5" t="s">
        <v>33</v>
      </c>
      <c r="I34" s="6" t="n">
        <v>0</v>
      </c>
      <c r="J34" s="5" t="s">
        <v>49</v>
      </c>
      <c r="K34" s="5" t="s">
        <v>68</v>
      </c>
    </row>
    <row r="35" customFormat="false" ht="26.85" hidden="false" customHeight="false" outlineLevel="0" collapsed="false">
      <c r="A35" s="5" t="s">
        <v>65</v>
      </c>
      <c r="B35" s="5" t="s">
        <v>66</v>
      </c>
      <c r="C35" s="5" t="s">
        <v>67</v>
      </c>
      <c r="D35" s="5" t="s">
        <v>38</v>
      </c>
      <c r="E35" s="6" t="n">
        <v>16</v>
      </c>
      <c r="F35" s="6" t="n">
        <v>26</v>
      </c>
      <c r="G35" s="5" t="n">
        <f aca="false">(E35+F35)/2</f>
        <v>21</v>
      </c>
      <c r="H35" s="5" t="s">
        <v>33</v>
      </c>
      <c r="I35" s="6" t="n">
        <v>0</v>
      </c>
      <c r="J35" s="5" t="s">
        <v>49</v>
      </c>
      <c r="K35" s="5" t="s">
        <v>68</v>
      </c>
    </row>
    <row r="36" customFormat="false" ht="15" hidden="false" customHeight="false" outlineLevel="0" collapsed="false">
      <c r="A36" s="5" t="s">
        <v>69</v>
      </c>
      <c r="B36" s="5" t="s">
        <v>70</v>
      </c>
      <c r="C36" s="5" t="s">
        <v>67</v>
      </c>
      <c r="D36" s="5" t="s">
        <v>32</v>
      </c>
      <c r="E36" s="6" t="n">
        <v>-4</v>
      </c>
      <c r="F36" s="6" t="n">
        <v>2</v>
      </c>
      <c r="G36" s="5" t="n">
        <f aca="false">(E36+F36)/2</f>
        <v>-1</v>
      </c>
      <c r="H36" s="5" t="s">
        <v>33</v>
      </c>
      <c r="I36" s="6" t="n">
        <v>2</v>
      </c>
      <c r="J36" s="5" t="s">
        <v>63</v>
      </c>
      <c r="K36" s="5" t="s">
        <v>71</v>
      </c>
    </row>
    <row r="37" customFormat="false" ht="15" hidden="false" customHeight="false" outlineLevel="0" collapsed="false">
      <c r="A37" s="5" t="s">
        <v>69</v>
      </c>
      <c r="B37" s="5" t="s">
        <v>70</v>
      </c>
      <c r="C37" s="5" t="s">
        <v>67</v>
      </c>
      <c r="D37" s="5" t="s">
        <v>36</v>
      </c>
      <c r="E37" s="6" t="n">
        <v>2</v>
      </c>
      <c r="F37" s="6" t="n">
        <v>8</v>
      </c>
      <c r="G37" s="5" t="n">
        <f aca="false">(E37+F37)/2</f>
        <v>5</v>
      </c>
      <c r="H37" s="5" t="s">
        <v>33</v>
      </c>
      <c r="I37" s="6" t="n">
        <v>2</v>
      </c>
      <c r="J37" s="5" t="s">
        <v>63</v>
      </c>
      <c r="K37" s="5" t="s">
        <v>71</v>
      </c>
    </row>
    <row r="38" customFormat="false" ht="15" hidden="false" customHeight="false" outlineLevel="0" collapsed="false">
      <c r="A38" s="5" t="s">
        <v>69</v>
      </c>
      <c r="B38" s="5" t="s">
        <v>70</v>
      </c>
      <c r="C38" s="5" t="s">
        <v>67</v>
      </c>
      <c r="D38" s="5" t="s">
        <v>37</v>
      </c>
      <c r="E38" s="6" t="n">
        <v>8</v>
      </c>
      <c r="F38" s="6" t="n">
        <v>14</v>
      </c>
      <c r="G38" s="5" t="n">
        <f aca="false">(E38+F38)/2</f>
        <v>11</v>
      </c>
      <c r="H38" s="5" t="s">
        <v>33</v>
      </c>
      <c r="I38" s="6" t="n">
        <v>2</v>
      </c>
      <c r="J38" s="5" t="s">
        <v>63</v>
      </c>
      <c r="K38" s="5" t="s">
        <v>71</v>
      </c>
    </row>
    <row r="39" customFormat="false" ht="15" hidden="false" customHeight="false" outlineLevel="0" collapsed="false">
      <c r="A39" s="5" t="s">
        <v>69</v>
      </c>
      <c r="B39" s="5" t="s">
        <v>70</v>
      </c>
      <c r="C39" s="5" t="s">
        <v>67</v>
      </c>
      <c r="D39" s="5" t="s">
        <v>38</v>
      </c>
      <c r="E39" s="6" t="n">
        <v>14</v>
      </c>
      <c r="F39" s="6" t="n">
        <v>24</v>
      </c>
      <c r="G39" s="5" t="n">
        <f aca="false">(E39+F39)/2</f>
        <v>19</v>
      </c>
      <c r="H39" s="5" t="s">
        <v>33</v>
      </c>
      <c r="I39" s="6" t="n">
        <v>2</v>
      </c>
      <c r="J39" s="5" t="s">
        <v>63</v>
      </c>
      <c r="K39" s="5" t="s">
        <v>71</v>
      </c>
    </row>
    <row r="40" customFormat="false" ht="39.55" hidden="false" customHeight="false" outlineLevel="0" collapsed="false">
      <c r="A40" s="5" t="s">
        <v>72</v>
      </c>
      <c r="B40" s="5" t="s">
        <v>73</v>
      </c>
      <c r="C40" s="5" t="s">
        <v>67</v>
      </c>
      <c r="D40" s="5" t="s">
        <v>32</v>
      </c>
      <c r="E40" s="6" t="n">
        <v>-15</v>
      </c>
      <c r="F40" s="6" t="n">
        <v>-5</v>
      </c>
      <c r="G40" s="5" t="n">
        <f aca="false">(E40+F40)/2</f>
        <v>-10</v>
      </c>
      <c r="H40" s="5" t="s">
        <v>74</v>
      </c>
      <c r="I40" s="6" t="n">
        <v>4</v>
      </c>
      <c r="J40" s="5" t="s">
        <v>75</v>
      </c>
      <c r="K40" s="5" t="s">
        <v>76</v>
      </c>
    </row>
    <row r="41" customFormat="false" ht="15" hidden="false" customHeight="false" outlineLevel="0" collapsed="false">
      <c r="A41" s="5" t="s">
        <v>77</v>
      </c>
      <c r="B41" s="5" t="s">
        <v>78</v>
      </c>
      <c r="C41" s="5" t="s">
        <v>79</v>
      </c>
      <c r="D41" s="5" t="s">
        <v>32</v>
      </c>
      <c r="E41" s="6" t="n">
        <v>3</v>
      </c>
      <c r="F41" s="6" t="n">
        <v>6</v>
      </c>
      <c r="G41" s="5" t="n">
        <f aca="false">(E41+F41)/2</f>
        <v>4.5</v>
      </c>
      <c r="H41" s="5" t="s">
        <v>33</v>
      </c>
      <c r="I41" s="6" t="n">
        <v>0</v>
      </c>
      <c r="J41" s="5" t="s">
        <v>63</v>
      </c>
      <c r="K41" s="5" t="s">
        <v>80</v>
      </c>
    </row>
    <row r="42" customFormat="false" ht="15" hidden="false" customHeight="false" outlineLevel="0" collapsed="false">
      <c r="A42" s="5" t="s">
        <v>77</v>
      </c>
      <c r="B42" s="5" t="s">
        <v>78</v>
      </c>
      <c r="C42" s="5" t="s">
        <v>79</v>
      </c>
      <c r="D42" s="5" t="s">
        <v>36</v>
      </c>
      <c r="E42" s="6" t="n">
        <v>6</v>
      </c>
      <c r="F42" s="6" t="n">
        <v>10</v>
      </c>
      <c r="G42" s="5" t="n">
        <f aca="false">(E42+F42)/2</f>
        <v>8</v>
      </c>
      <c r="H42" s="5" t="s">
        <v>33</v>
      </c>
      <c r="I42" s="6" t="n">
        <v>0</v>
      </c>
      <c r="J42" s="5" t="s">
        <v>63</v>
      </c>
      <c r="K42" s="5" t="s">
        <v>80</v>
      </c>
    </row>
    <row r="43" customFormat="false" ht="15" hidden="false" customHeight="false" outlineLevel="0" collapsed="false">
      <c r="A43" s="5" t="s">
        <v>77</v>
      </c>
      <c r="B43" s="5" t="s">
        <v>78</v>
      </c>
      <c r="C43" s="5" t="s">
        <v>79</v>
      </c>
      <c r="D43" s="5" t="s">
        <v>37</v>
      </c>
      <c r="E43" s="6" t="n">
        <v>10</v>
      </c>
      <c r="F43" s="6" t="n">
        <v>16</v>
      </c>
      <c r="G43" s="5" t="n">
        <f aca="false">(E43+F43)/2</f>
        <v>13</v>
      </c>
      <c r="H43" s="5" t="s">
        <v>33</v>
      </c>
      <c r="I43" s="6" t="n">
        <v>0</v>
      </c>
      <c r="J43" s="5" t="s">
        <v>63</v>
      </c>
      <c r="K43" s="5" t="s">
        <v>80</v>
      </c>
    </row>
    <row r="44" customFormat="false" ht="15" hidden="false" customHeight="false" outlineLevel="0" collapsed="false">
      <c r="A44" s="5" t="s">
        <v>77</v>
      </c>
      <c r="B44" s="5" t="s">
        <v>78</v>
      </c>
      <c r="C44" s="5" t="s">
        <v>79</v>
      </c>
      <c r="D44" s="5" t="s">
        <v>38</v>
      </c>
      <c r="E44" s="6" t="n">
        <v>16</v>
      </c>
      <c r="F44" s="6" t="n">
        <v>26</v>
      </c>
      <c r="G44" s="5" t="n">
        <f aca="false">(E44+F44)/2</f>
        <v>21</v>
      </c>
      <c r="H44" s="5" t="s">
        <v>33</v>
      </c>
      <c r="I44" s="6" t="n">
        <v>0</v>
      </c>
      <c r="J44" s="5" t="s">
        <v>63</v>
      </c>
      <c r="K44" s="5" t="s">
        <v>80</v>
      </c>
    </row>
    <row r="45" customFormat="false" ht="26.85" hidden="false" customHeight="false" outlineLevel="0" collapsed="false">
      <c r="A45" s="5" t="s">
        <v>81</v>
      </c>
      <c r="B45" s="5" t="s">
        <v>82</v>
      </c>
      <c r="C45" s="5" t="s">
        <v>83</v>
      </c>
      <c r="D45" s="5" t="s">
        <v>32</v>
      </c>
      <c r="E45" s="6" t="n">
        <v>4</v>
      </c>
      <c r="F45" s="6" t="n">
        <v>6</v>
      </c>
      <c r="G45" s="5" t="n">
        <f aca="false">(E45+F45)/2</f>
        <v>5</v>
      </c>
      <c r="H45" s="5" t="s">
        <v>33</v>
      </c>
      <c r="I45" s="6" t="n">
        <v>0</v>
      </c>
      <c r="J45" s="5" t="s">
        <v>41</v>
      </c>
      <c r="K45" s="5" t="s">
        <v>84</v>
      </c>
    </row>
    <row r="46" customFormat="false" ht="26.85" hidden="false" customHeight="false" outlineLevel="0" collapsed="false">
      <c r="A46" s="5" t="s">
        <v>81</v>
      </c>
      <c r="B46" s="5" t="s">
        <v>82</v>
      </c>
      <c r="C46" s="5" t="s">
        <v>83</v>
      </c>
      <c r="D46" s="5" t="s">
        <v>36</v>
      </c>
      <c r="E46" s="6" t="n">
        <v>6</v>
      </c>
      <c r="F46" s="6" t="n">
        <v>9</v>
      </c>
      <c r="G46" s="5" t="n">
        <f aca="false">(E46+F46)/2</f>
        <v>7.5</v>
      </c>
      <c r="H46" s="5" t="s">
        <v>33</v>
      </c>
      <c r="I46" s="6" t="n">
        <v>0</v>
      </c>
      <c r="J46" s="5" t="s">
        <v>41</v>
      </c>
      <c r="K46" s="5" t="s">
        <v>84</v>
      </c>
    </row>
    <row r="47" customFormat="false" ht="26.85" hidden="false" customHeight="false" outlineLevel="0" collapsed="false">
      <c r="A47" s="5" t="s">
        <v>81</v>
      </c>
      <c r="B47" s="5" t="s">
        <v>82</v>
      </c>
      <c r="C47" s="5" t="s">
        <v>83</v>
      </c>
      <c r="D47" s="5" t="s">
        <v>37</v>
      </c>
      <c r="E47" s="6" t="n">
        <v>9</v>
      </c>
      <c r="F47" s="6" t="n">
        <v>14</v>
      </c>
      <c r="G47" s="5" t="n">
        <f aca="false">(E47+F47)/2</f>
        <v>11.5</v>
      </c>
      <c r="H47" s="5" t="s">
        <v>33</v>
      </c>
      <c r="I47" s="6" t="n">
        <v>0</v>
      </c>
      <c r="J47" s="5" t="s">
        <v>41</v>
      </c>
      <c r="K47" s="5" t="s">
        <v>84</v>
      </c>
    </row>
    <row r="48" customFormat="false" ht="26.85" hidden="false" customHeight="false" outlineLevel="0" collapsed="false">
      <c r="A48" s="5" t="s">
        <v>81</v>
      </c>
      <c r="B48" s="5" t="s">
        <v>82</v>
      </c>
      <c r="C48" s="5" t="s">
        <v>83</v>
      </c>
      <c r="D48" s="5" t="s">
        <v>38</v>
      </c>
      <c r="E48" s="6" t="n">
        <v>14</v>
      </c>
      <c r="F48" s="6" t="n">
        <v>22</v>
      </c>
      <c r="G48" s="5" t="n">
        <f aca="false">(E48+F48)/2</f>
        <v>18</v>
      </c>
      <c r="H48" s="5" t="s">
        <v>33</v>
      </c>
      <c r="I48" s="6" t="n">
        <v>0</v>
      </c>
      <c r="J48" s="5" t="s">
        <v>41</v>
      </c>
      <c r="K48" s="5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10"/>
  </cols>
  <sheetData>
    <row r="1" customFormat="false" ht="26.85" hidden="false" customHeight="false" outlineLevel="0" collapsed="false">
      <c r="A1" s="4" t="s">
        <v>18</v>
      </c>
      <c r="B1" s="4" t="s">
        <v>20</v>
      </c>
      <c r="C1" s="4" t="s">
        <v>85</v>
      </c>
      <c r="D1" s="4" t="s">
        <v>86</v>
      </c>
      <c r="E1" s="4" t="s">
        <v>28</v>
      </c>
      <c r="F1" s="4" t="s">
        <v>27</v>
      </c>
    </row>
    <row r="2" customFormat="false" ht="26.85" hidden="false" customHeight="false" outlineLevel="0" collapsed="false">
      <c r="A2" s="5" t="s">
        <v>29</v>
      </c>
      <c r="B2" s="5" t="s">
        <v>31</v>
      </c>
      <c r="C2" s="6" t="n">
        <v>5</v>
      </c>
      <c r="D2" s="5" t="s">
        <v>87</v>
      </c>
      <c r="E2" s="5" t="s">
        <v>88</v>
      </c>
      <c r="F2" s="5" t="s">
        <v>89</v>
      </c>
    </row>
    <row r="3" customFormat="false" ht="15" hidden="false" customHeight="false" outlineLevel="0" collapsed="false">
      <c r="A3" s="5" t="s">
        <v>90</v>
      </c>
      <c r="B3" s="5" t="s">
        <v>31</v>
      </c>
      <c r="C3" s="6" t="n">
        <v>3</v>
      </c>
      <c r="D3" s="5" t="s">
        <v>91</v>
      </c>
      <c r="E3" s="5" t="s">
        <v>92</v>
      </c>
      <c r="F3" s="5" t="s">
        <v>45</v>
      </c>
    </row>
    <row r="4" customFormat="false" ht="15" hidden="false" customHeight="false" outlineLevel="0" collapsed="false">
      <c r="A4" s="5" t="s">
        <v>47</v>
      </c>
      <c r="B4" s="5" t="s">
        <v>31</v>
      </c>
      <c r="C4" s="6" t="n">
        <v>9</v>
      </c>
      <c r="D4" s="5"/>
      <c r="E4" s="5" t="s">
        <v>93</v>
      </c>
      <c r="F4" s="5" t="s">
        <v>49</v>
      </c>
    </row>
    <row r="5" customFormat="false" ht="15" hidden="false" customHeight="false" outlineLevel="0" collapsed="false">
      <c r="A5" s="5" t="s">
        <v>51</v>
      </c>
      <c r="B5" s="5" t="s">
        <v>31</v>
      </c>
      <c r="C5" s="6" t="n">
        <v>12</v>
      </c>
      <c r="D5" s="5"/>
      <c r="E5" s="5" t="s">
        <v>94</v>
      </c>
      <c r="F5" s="5" t="s">
        <v>49</v>
      </c>
    </row>
    <row r="6" customFormat="false" ht="15" hidden="false" customHeight="false" outlineLevel="0" collapsed="false">
      <c r="A6" s="5" t="s">
        <v>54</v>
      </c>
      <c r="B6" s="5" t="s">
        <v>56</v>
      </c>
      <c r="C6" s="6" t="n">
        <v>2.5</v>
      </c>
      <c r="D6" s="5"/>
      <c r="E6" s="5" t="s">
        <v>95</v>
      </c>
      <c r="F6" s="5" t="s">
        <v>45</v>
      </c>
    </row>
    <row r="7" customFormat="false" ht="15" hidden="false" customHeight="false" outlineLevel="0" collapsed="false">
      <c r="A7" s="5" t="s">
        <v>96</v>
      </c>
      <c r="B7" s="5" t="s">
        <v>56</v>
      </c>
      <c r="C7" s="6" t="n">
        <v>2</v>
      </c>
      <c r="D7" s="5" t="s">
        <v>97</v>
      </c>
      <c r="E7" s="5" t="s">
        <v>98</v>
      </c>
      <c r="F7" s="5" t="s">
        <v>63</v>
      </c>
    </row>
    <row r="8" customFormat="false" ht="15" hidden="false" customHeight="false" outlineLevel="0" collapsed="false">
      <c r="A8" s="5" t="s">
        <v>58</v>
      </c>
      <c r="B8" s="5" t="s">
        <v>56</v>
      </c>
      <c r="C8" s="6" t="n">
        <v>1</v>
      </c>
      <c r="D8" s="5"/>
      <c r="E8" s="5" t="s">
        <v>99</v>
      </c>
      <c r="F8" s="5" t="s">
        <v>49</v>
      </c>
    </row>
    <row r="9" customFormat="false" ht="15" hidden="false" customHeight="false" outlineLevel="0" collapsed="false">
      <c r="A9" s="5" t="s">
        <v>61</v>
      </c>
      <c r="B9" s="5" t="s">
        <v>56</v>
      </c>
      <c r="C9" s="6" t="n">
        <v>-2</v>
      </c>
      <c r="D9" s="5"/>
      <c r="E9" s="5" t="s">
        <v>92</v>
      </c>
      <c r="F9" s="5" t="s">
        <v>63</v>
      </c>
    </row>
    <row r="10" customFormat="false" ht="15" hidden="false" customHeight="false" outlineLevel="0" collapsed="false">
      <c r="A10" s="5" t="s">
        <v>65</v>
      </c>
      <c r="B10" s="5" t="s">
        <v>67</v>
      </c>
      <c r="C10" s="6" t="n">
        <v>3.5</v>
      </c>
      <c r="D10" s="5"/>
      <c r="E10" s="5" t="s">
        <v>99</v>
      </c>
      <c r="F10" s="5" t="s">
        <v>49</v>
      </c>
    </row>
    <row r="11" customFormat="false" ht="15" hidden="false" customHeight="false" outlineLevel="0" collapsed="false">
      <c r="A11" s="5" t="s">
        <v>77</v>
      </c>
      <c r="B11" s="5" t="s">
        <v>79</v>
      </c>
      <c r="C11" s="6" t="n">
        <v>3</v>
      </c>
      <c r="D11" s="5"/>
      <c r="E11" s="5" t="s">
        <v>99</v>
      </c>
      <c r="F11" s="5" t="s">
        <v>63</v>
      </c>
    </row>
    <row r="12" customFormat="false" ht="15" hidden="false" customHeight="false" outlineLevel="0" collapsed="false">
      <c r="A12" s="5" t="s">
        <v>81</v>
      </c>
      <c r="B12" s="5" t="s">
        <v>83</v>
      </c>
      <c r="C12" s="6" t="n">
        <v>4</v>
      </c>
      <c r="D12" s="5"/>
      <c r="E12" s="5" t="s">
        <v>92</v>
      </c>
      <c r="F12" s="5" t="s">
        <v>45</v>
      </c>
    </row>
    <row r="13" customFormat="false" ht="15" hidden="false" customHeight="false" outlineLevel="0" collapsed="false">
      <c r="A13" s="5" t="s">
        <v>100</v>
      </c>
      <c r="B13" s="5" t="s">
        <v>83</v>
      </c>
      <c r="C13" s="6" t="n">
        <v>0</v>
      </c>
      <c r="D13" s="5" t="s">
        <v>101</v>
      </c>
      <c r="E13" s="5" t="s">
        <v>102</v>
      </c>
      <c r="F13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  <col collapsed="false" customWidth="true" hidden="false" outlineLevel="0" max="5" min="5" style="0" width="40"/>
    <col collapsed="false" customWidth="true" hidden="false" outlineLevel="0" max="6" min="6" style="0" width="46"/>
  </cols>
  <sheetData>
    <row r="1" customFormat="false" ht="26.85" hidden="false" customHeight="false" outlineLevel="0" collapsed="false">
      <c r="A1" s="4" t="s">
        <v>103</v>
      </c>
      <c r="B1" s="4" t="s">
        <v>104</v>
      </c>
      <c r="C1" s="4" t="s">
        <v>105</v>
      </c>
      <c r="D1" s="4" t="s">
        <v>106</v>
      </c>
      <c r="E1" s="4" t="s">
        <v>107</v>
      </c>
      <c r="F1" s="4" t="s">
        <v>108</v>
      </c>
    </row>
    <row r="2" customFormat="false" ht="15" hidden="false" customHeight="false" outlineLevel="0" collapsed="false">
      <c r="A2" s="6" t="n">
        <v>0</v>
      </c>
      <c r="B2" s="5" t="s">
        <v>109</v>
      </c>
      <c r="C2" s="7" t="n">
        <v>0</v>
      </c>
      <c r="D2" s="7" t="n">
        <v>0.05</v>
      </c>
      <c r="E2" s="5" t="s">
        <v>110</v>
      </c>
      <c r="F2" s="5" t="s">
        <v>111</v>
      </c>
    </row>
    <row r="3" customFormat="false" ht="26.85" hidden="false" customHeight="false" outlineLevel="0" collapsed="false">
      <c r="A3" s="6" t="n">
        <v>1</v>
      </c>
      <c r="B3" s="5" t="s">
        <v>112</v>
      </c>
      <c r="C3" s="7" t="n">
        <v>0.05</v>
      </c>
      <c r="D3" s="7" t="n">
        <v>0.25</v>
      </c>
      <c r="E3" s="5" t="s">
        <v>113</v>
      </c>
      <c r="F3" s="5" t="s">
        <v>114</v>
      </c>
    </row>
    <row r="4" customFormat="false" ht="15" hidden="false" customHeight="false" outlineLevel="0" collapsed="false">
      <c r="A4" s="6" t="n">
        <v>2</v>
      </c>
      <c r="B4" s="5" t="s">
        <v>115</v>
      </c>
      <c r="C4" s="7" t="n">
        <v>0.25</v>
      </c>
      <c r="D4" s="7" t="n">
        <v>0.5</v>
      </c>
      <c r="E4" s="5" t="s">
        <v>116</v>
      </c>
      <c r="F4" s="5" t="s">
        <v>117</v>
      </c>
    </row>
    <row r="5" customFormat="false" ht="15" hidden="false" customHeight="false" outlineLevel="0" collapsed="false">
      <c r="A5" s="6" t="n">
        <v>3</v>
      </c>
      <c r="B5" s="5" t="s">
        <v>118</v>
      </c>
      <c r="C5" s="7" t="n">
        <v>0.5</v>
      </c>
      <c r="D5" s="7" t="n">
        <v>0.75</v>
      </c>
      <c r="E5" s="5" t="s">
        <v>119</v>
      </c>
      <c r="F5" s="5" t="s">
        <v>117</v>
      </c>
    </row>
    <row r="6" customFormat="false" ht="15" hidden="false" customHeight="false" outlineLevel="0" collapsed="false">
      <c r="A6" s="6" t="n">
        <v>4</v>
      </c>
      <c r="B6" s="5" t="s">
        <v>120</v>
      </c>
      <c r="C6" s="7" t="n">
        <v>0.75</v>
      </c>
      <c r="D6" s="8"/>
      <c r="E6" s="5" t="s">
        <v>121</v>
      </c>
      <c r="F6" s="5" t="s">
        <v>117</v>
      </c>
    </row>
    <row r="8" customFormat="false" ht="15" hidden="false" customHeight="false" outlineLevel="0" collapsed="false">
      <c r="A8" s="9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5" min="4" style="0" width="10"/>
    <col collapsed="false" customWidth="true" hidden="false" outlineLevel="0" max="6" min="6" style="0" width="40"/>
  </cols>
  <sheetData>
    <row r="1" customFormat="false" ht="26.85" hidden="false" customHeight="false" outlineLevel="0" collapsed="false">
      <c r="A1" s="4" t="s">
        <v>103</v>
      </c>
      <c r="B1" s="4" t="s">
        <v>32</v>
      </c>
      <c r="C1" s="4" t="s">
        <v>36</v>
      </c>
      <c r="D1" s="4" t="s">
        <v>37</v>
      </c>
      <c r="E1" s="4" t="s">
        <v>38</v>
      </c>
      <c r="F1" s="4" t="s">
        <v>86</v>
      </c>
    </row>
    <row r="2" customFormat="false" ht="15" hidden="false" customHeight="false" outlineLevel="0" collapsed="false">
      <c r="A2" s="6" t="n">
        <v>0</v>
      </c>
      <c r="B2" s="6" t="n">
        <v>0</v>
      </c>
      <c r="C2" s="6" t="n">
        <v>0</v>
      </c>
      <c r="D2" s="6" t="n">
        <v>0</v>
      </c>
      <c r="E2" s="6" t="n">
        <v>0</v>
      </c>
      <c r="F2" s="5"/>
    </row>
    <row r="3" customFormat="false" ht="15" hidden="false" customHeight="false" outlineLevel="0" collapsed="false">
      <c r="A3" s="6" t="n">
        <v>1</v>
      </c>
      <c r="B3" s="6" t="n">
        <v>-2</v>
      </c>
      <c r="C3" s="6" t="n">
        <v>-1</v>
      </c>
      <c r="D3" s="6" t="n">
        <v>0</v>
      </c>
      <c r="E3" s="6" t="n">
        <v>0</v>
      </c>
      <c r="F3" s="5"/>
    </row>
    <row r="4" customFormat="false" ht="15" hidden="false" customHeight="false" outlineLevel="0" collapsed="false">
      <c r="A4" s="6" t="n">
        <v>2</v>
      </c>
      <c r="B4" s="6" t="n">
        <v>-4</v>
      </c>
      <c r="C4" s="6" t="n">
        <v>-2</v>
      </c>
      <c r="D4" s="6" t="n">
        <v>0</v>
      </c>
      <c r="E4" s="6" t="n">
        <v>0</v>
      </c>
      <c r="F4" s="5"/>
    </row>
    <row r="5" customFormat="false" ht="15" hidden="false" customHeight="false" outlineLevel="0" collapsed="false">
      <c r="A5" s="6" t="n">
        <v>3</v>
      </c>
      <c r="B5" s="6" t="n">
        <v>-6</v>
      </c>
      <c r="C5" s="6" t="n">
        <v>-3</v>
      </c>
      <c r="D5" s="6" t="n">
        <v>0</v>
      </c>
      <c r="E5" s="6" t="n">
        <v>0</v>
      </c>
      <c r="F5" s="5"/>
    </row>
    <row r="6" customFormat="false" ht="15" hidden="false" customHeight="false" outlineLevel="0" collapsed="false">
      <c r="A6" s="6" t="n">
        <v>4</v>
      </c>
      <c r="B6" s="5"/>
      <c r="C6" s="5"/>
      <c r="D6" s="5"/>
      <c r="E6" s="5"/>
      <c r="F6" s="5" t="s">
        <v>123</v>
      </c>
    </row>
    <row r="8" customFormat="false" ht="15" hidden="false" customHeight="false" outlineLevel="0" collapsed="false">
      <c r="A8" s="9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9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50"/>
  </cols>
  <sheetData>
    <row r="1" customFormat="false" ht="26.85" hidden="false" customHeight="false" outlineLevel="0" collapsed="false">
      <c r="A1" s="4" t="s">
        <v>19</v>
      </c>
      <c r="B1" s="4" t="s">
        <v>31</v>
      </c>
      <c r="C1" s="4" t="s">
        <v>56</v>
      </c>
      <c r="D1" s="4" t="s">
        <v>67</v>
      </c>
      <c r="E1" s="4" t="s">
        <v>79</v>
      </c>
      <c r="F1" s="4" t="s">
        <v>83</v>
      </c>
      <c r="G1" s="4" t="s">
        <v>86</v>
      </c>
    </row>
    <row r="2" customFormat="false" ht="26.85" hidden="false" customHeight="false" outlineLevel="0" collapsed="false">
      <c r="A2" s="5" t="s">
        <v>125</v>
      </c>
      <c r="B2" s="6" t="n">
        <v>1</v>
      </c>
      <c r="C2" s="6" t="n">
        <v>0</v>
      </c>
      <c r="D2" s="6" t="n">
        <v>0.6</v>
      </c>
      <c r="E2" s="5"/>
      <c r="F2" s="6" t="n">
        <v>0.4</v>
      </c>
      <c r="G2" s="5" t="s">
        <v>126</v>
      </c>
    </row>
    <row r="3" customFormat="false" ht="15" hidden="false" customHeight="false" outlineLevel="0" collapsed="false">
      <c r="A3" s="5" t="s">
        <v>127</v>
      </c>
      <c r="B3" s="6" t="n">
        <v>1</v>
      </c>
      <c r="C3" s="6" t="n">
        <v>0.8</v>
      </c>
      <c r="D3" s="6" t="n">
        <v>0.8</v>
      </c>
      <c r="E3" s="5"/>
      <c r="F3" s="6" t="n">
        <v>0.4</v>
      </c>
      <c r="G3" s="5"/>
    </row>
    <row r="4" customFormat="false" ht="15" hidden="false" customHeight="false" outlineLevel="0" collapsed="false">
      <c r="A4" s="5" t="s">
        <v>128</v>
      </c>
      <c r="B4" s="6" t="n">
        <v>1</v>
      </c>
      <c r="C4" s="6" t="n">
        <v>0</v>
      </c>
      <c r="D4" s="6" t="n">
        <v>0.5</v>
      </c>
      <c r="E4" s="5"/>
      <c r="F4" s="6" t="n">
        <v>0.5</v>
      </c>
      <c r="G4" s="5"/>
    </row>
    <row r="5" customFormat="false" ht="15" hidden="false" customHeight="false" outlineLevel="0" collapsed="false">
      <c r="A5" s="5" t="s">
        <v>129</v>
      </c>
      <c r="B5" s="5"/>
      <c r="C5" s="6" t="n">
        <v>1</v>
      </c>
      <c r="D5" s="6" t="n">
        <v>1</v>
      </c>
      <c r="E5" s="5"/>
      <c r="F5" s="5"/>
      <c r="G5" s="5"/>
    </row>
    <row r="6" customFormat="false" ht="15" hidden="false" customHeight="false" outlineLevel="0" collapsed="false">
      <c r="A6" s="5" t="s">
        <v>130</v>
      </c>
      <c r="B6" s="5"/>
      <c r="C6" s="6" t="n">
        <v>1</v>
      </c>
      <c r="D6" s="6" t="n">
        <v>1</v>
      </c>
      <c r="E6" s="6" t="n">
        <v>0.6</v>
      </c>
      <c r="F6" s="5"/>
      <c r="G6" s="5"/>
    </row>
    <row r="8" customFormat="false" ht="15" hidden="false" customHeight="false" outlineLevel="0" collapsed="false">
      <c r="A8" s="9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5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4" t="s">
        <v>132</v>
      </c>
      <c r="B1" s="4" t="s">
        <v>133</v>
      </c>
      <c r="C1" s="4" t="s">
        <v>134</v>
      </c>
      <c r="D1" s="4" t="s">
        <v>25</v>
      </c>
      <c r="E1" s="4" t="s">
        <v>135</v>
      </c>
      <c r="F1" s="4" t="s">
        <v>27</v>
      </c>
    </row>
    <row r="2" customFormat="false" ht="15" hidden="false" customHeight="false" outlineLevel="0" collapsed="false">
      <c r="A2" s="5" t="s">
        <v>136</v>
      </c>
      <c r="B2" s="5" t="s">
        <v>137</v>
      </c>
      <c r="C2" s="6" t="n">
        <v>2</v>
      </c>
      <c r="D2" s="5"/>
      <c r="E2" s="5" t="s">
        <v>138</v>
      </c>
      <c r="F2" s="5" t="s">
        <v>63</v>
      </c>
    </row>
    <row r="3" customFormat="false" ht="15" hidden="false" customHeight="false" outlineLevel="0" collapsed="false">
      <c r="A3" s="5" t="s">
        <v>136</v>
      </c>
      <c r="B3" s="5" t="s">
        <v>139</v>
      </c>
      <c r="C3" s="6" t="n">
        <v>1</v>
      </c>
      <c r="D3" s="5"/>
      <c r="E3" s="5"/>
      <c r="F3" s="5" t="s">
        <v>63</v>
      </c>
    </row>
    <row r="4" customFormat="false" ht="15" hidden="false" customHeight="false" outlineLevel="0" collapsed="false">
      <c r="A4" s="5" t="s">
        <v>136</v>
      </c>
      <c r="B4" s="5" t="s">
        <v>140</v>
      </c>
      <c r="C4" s="6" t="n">
        <v>4</v>
      </c>
      <c r="D4" s="5" t="s">
        <v>141</v>
      </c>
      <c r="E4" s="5" t="s">
        <v>142</v>
      </c>
      <c r="F4" s="5" t="s">
        <v>63</v>
      </c>
    </row>
    <row r="5" customFormat="false" ht="15" hidden="false" customHeight="false" outlineLevel="0" collapsed="false">
      <c r="A5" s="5" t="s">
        <v>136</v>
      </c>
      <c r="B5" s="5" t="s">
        <v>143</v>
      </c>
      <c r="C5" s="6" t="n">
        <v>2</v>
      </c>
      <c r="D5" s="5" t="s">
        <v>141</v>
      </c>
      <c r="E5" s="5" t="s">
        <v>144</v>
      </c>
      <c r="F5" s="5" t="s">
        <v>63</v>
      </c>
    </row>
    <row r="6" customFormat="false" ht="26.85" hidden="false" customHeight="false" outlineLevel="0" collapsed="false">
      <c r="A6" s="5" t="s">
        <v>145</v>
      </c>
      <c r="B6" s="5" t="s">
        <v>146</v>
      </c>
      <c r="C6" s="6" t="n">
        <v>0.5</v>
      </c>
      <c r="D6" s="5" t="s">
        <v>147</v>
      </c>
      <c r="E6" s="5" t="s">
        <v>148</v>
      </c>
      <c r="F6" s="5" t="s">
        <v>149</v>
      </c>
    </row>
    <row r="7" customFormat="false" ht="26.85" hidden="false" customHeight="false" outlineLevel="0" collapsed="false">
      <c r="A7" s="5" t="s">
        <v>150</v>
      </c>
      <c r="B7" s="5" t="s">
        <v>151</v>
      </c>
      <c r="C7" s="6" t="n">
        <v>1</v>
      </c>
      <c r="D7" s="5" t="s">
        <v>147</v>
      </c>
      <c r="E7" s="5" t="s">
        <v>152</v>
      </c>
      <c r="F7" s="5" t="s">
        <v>63</v>
      </c>
    </row>
    <row r="8" customFormat="false" ht="15" hidden="false" customHeight="false" outlineLevel="0" collapsed="false">
      <c r="A8" s="5" t="s">
        <v>153</v>
      </c>
      <c r="B8" s="5" t="s">
        <v>154</v>
      </c>
      <c r="C8" s="6" t="n">
        <v>3</v>
      </c>
      <c r="D8" s="5" t="s">
        <v>33</v>
      </c>
      <c r="E8" s="5" t="s">
        <v>155</v>
      </c>
      <c r="F8" s="5" t="s">
        <v>63</v>
      </c>
    </row>
    <row r="9" customFormat="false" ht="15" hidden="false" customHeight="false" outlineLevel="0" collapsed="false">
      <c r="A9" s="5" t="s">
        <v>153</v>
      </c>
      <c r="B9" s="5" t="s">
        <v>156</v>
      </c>
      <c r="C9" s="6" t="n">
        <v>2.5</v>
      </c>
      <c r="D9" s="5" t="s">
        <v>33</v>
      </c>
      <c r="E9" s="5" t="s">
        <v>157</v>
      </c>
      <c r="F9" s="5" t="s">
        <v>63</v>
      </c>
    </row>
    <row r="10" customFormat="false" ht="15" hidden="false" customHeight="false" outlineLevel="0" collapsed="false">
      <c r="A10" s="5" t="s">
        <v>158</v>
      </c>
      <c r="B10" s="5" t="s">
        <v>159</v>
      </c>
      <c r="C10" s="6" t="n">
        <v>1</v>
      </c>
      <c r="D10" s="5" t="s">
        <v>33</v>
      </c>
      <c r="E10" s="5" t="s">
        <v>160</v>
      </c>
      <c r="F10" s="5" t="s">
        <v>63</v>
      </c>
    </row>
    <row r="11" customFormat="false" ht="15" hidden="false" customHeight="false" outlineLevel="0" collapsed="false">
      <c r="A11" s="5" t="s">
        <v>158</v>
      </c>
      <c r="B11" s="5" t="s">
        <v>161</v>
      </c>
      <c r="C11" s="6" t="n">
        <v>2</v>
      </c>
      <c r="D11" s="5" t="s">
        <v>33</v>
      </c>
      <c r="E11" s="5" t="s">
        <v>162</v>
      </c>
      <c r="F11" s="5" t="s">
        <v>163</v>
      </c>
    </row>
    <row r="12" customFormat="false" ht="15" hidden="false" customHeight="false" outlineLevel="0" collapsed="false">
      <c r="A12" s="5" t="s">
        <v>164</v>
      </c>
      <c r="B12" s="5" t="s">
        <v>165</v>
      </c>
      <c r="C12" s="6" t="n">
        <v>2</v>
      </c>
      <c r="D12" s="5" t="s">
        <v>33</v>
      </c>
      <c r="E12" s="5" t="s">
        <v>166</v>
      </c>
      <c r="F12" s="5" t="s">
        <v>63</v>
      </c>
    </row>
    <row r="13" customFormat="false" ht="15" hidden="false" customHeight="false" outlineLevel="0" collapsed="false">
      <c r="A13" s="5" t="s">
        <v>167</v>
      </c>
      <c r="B13" s="5" t="s">
        <v>168</v>
      </c>
      <c r="C13" s="6" t="n">
        <v>0.2</v>
      </c>
      <c r="D13" s="5"/>
      <c r="E13" s="5" t="s">
        <v>169</v>
      </c>
      <c r="F13" s="5" t="s">
        <v>170</v>
      </c>
    </row>
    <row r="14" customFormat="false" ht="15" hidden="false" customHeight="false" outlineLevel="0" collapsed="false">
      <c r="A14" s="5" t="s">
        <v>171</v>
      </c>
      <c r="B14" s="5" t="s">
        <v>172</v>
      </c>
      <c r="C14" s="6" t="n">
        <v>0.5</v>
      </c>
      <c r="D14" s="5"/>
      <c r="E14" s="5" t="s">
        <v>173</v>
      </c>
      <c r="F14" s="5" t="s">
        <v>63</v>
      </c>
    </row>
    <row r="15" customFormat="false" ht="15" hidden="false" customHeight="false" outlineLevel="0" collapsed="false">
      <c r="A15" s="5" t="s">
        <v>171</v>
      </c>
      <c r="B15" s="5" t="s">
        <v>174</v>
      </c>
      <c r="C15" s="6" t="n">
        <v>92</v>
      </c>
      <c r="D15" s="5" t="s">
        <v>33</v>
      </c>
      <c r="E15" s="5" t="s">
        <v>175</v>
      </c>
      <c r="F15" s="5" t="s">
        <v>49</v>
      </c>
    </row>
    <row r="16" customFormat="false" ht="15" hidden="false" customHeight="false" outlineLevel="0" collapsed="false">
      <c r="A16" s="5" t="s">
        <v>171</v>
      </c>
      <c r="B16" s="5" t="s">
        <v>176</v>
      </c>
      <c r="C16" s="6" t="n">
        <v>100</v>
      </c>
      <c r="D16" s="5" t="s">
        <v>33</v>
      </c>
      <c r="E16" s="5" t="s">
        <v>175</v>
      </c>
      <c r="F16" s="5" t="s">
        <v>49</v>
      </c>
    </row>
    <row r="17" customFormat="false" ht="15" hidden="false" customHeight="false" outlineLevel="0" collapsed="false">
      <c r="A17" s="5" t="s">
        <v>177</v>
      </c>
      <c r="B17" s="5" t="s">
        <v>178</v>
      </c>
      <c r="C17" s="6" t="n">
        <v>100</v>
      </c>
      <c r="D17" s="5"/>
      <c r="E17" s="5"/>
      <c r="F17" s="5" t="s">
        <v>63</v>
      </c>
    </row>
    <row r="18" customFormat="false" ht="15" hidden="false" customHeight="false" outlineLevel="0" collapsed="false">
      <c r="A18" s="5" t="s">
        <v>177</v>
      </c>
      <c r="B18" s="5" t="s">
        <v>179</v>
      </c>
      <c r="C18" s="6" t="n">
        <v>15</v>
      </c>
      <c r="D18" s="5"/>
      <c r="E18" s="5"/>
      <c r="F18" s="5" t="s">
        <v>63</v>
      </c>
    </row>
    <row r="19" customFormat="false" ht="15" hidden="false" customHeight="false" outlineLevel="0" collapsed="false">
      <c r="A19" s="5" t="s">
        <v>177</v>
      </c>
      <c r="B19" s="5" t="s">
        <v>180</v>
      </c>
      <c r="C19" s="6" t="n">
        <v>10</v>
      </c>
      <c r="D19" s="5"/>
      <c r="E19" s="5" t="s">
        <v>181</v>
      </c>
      <c r="F19" s="5" t="s">
        <v>63</v>
      </c>
    </row>
    <row r="20" customFormat="false" ht="15" hidden="false" customHeight="false" outlineLevel="0" collapsed="false">
      <c r="A20" s="5" t="s">
        <v>177</v>
      </c>
      <c r="B20" s="5" t="s">
        <v>182</v>
      </c>
      <c r="C20" s="6" t="n">
        <v>25</v>
      </c>
      <c r="D20" s="5"/>
      <c r="E20" s="5"/>
      <c r="F20" s="5" t="s">
        <v>63</v>
      </c>
    </row>
    <row r="21" customFormat="false" ht="15" hidden="false" customHeight="false" outlineLevel="0" collapsed="false">
      <c r="A21" s="5" t="s">
        <v>177</v>
      </c>
      <c r="B21" s="5" t="s">
        <v>183</v>
      </c>
      <c r="C21" s="7" t="n">
        <v>0.1</v>
      </c>
      <c r="D21" s="5"/>
      <c r="E21" s="5"/>
      <c r="F21" s="5" t="s">
        <v>63</v>
      </c>
    </row>
    <row r="22" customFormat="false" ht="15" hidden="false" customHeight="false" outlineLevel="0" collapsed="false">
      <c r="A22" s="5" t="s">
        <v>177</v>
      </c>
      <c r="B22" s="5" t="s">
        <v>184</v>
      </c>
      <c r="C22" s="6" t="n">
        <v>10</v>
      </c>
      <c r="D22" s="5"/>
      <c r="E22" s="5" t="s">
        <v>185</v>
      </c>
      <c r="F22" s="5" t="s">
        <v>63</v>
      </c>
    </row>
    <row r="23" customFormat="false" ht="15" hidden="false" customHeight="false" outlineLevel="0" collapsed="false">
      <c r="A23" s="5" t="s">
        <v>177</v>
      </c>
      <c r="B23" s="5" t="s">
        <v>186</v>
      </c>
      <c r="C23" s="6" t="n">
        <v>10</v>
      </c>
      <c r="D23" s="5"/>
      <c r="E23" s="5"/>
      <c r="F23" s="5" t="s">
        <v>63</v>
      </c>
    </row>
    <row r="24" customFormat="false" ht="15" hidden="false" customHeight="false" outlineLevel="0" collapsed="false">
      <c r="A24" s="5" t="s">
        <v>177</v>
      </c>
      <c r="B24" s="5" t="s">
        <v>187</v>
      </c>
      <c r="C24" s="6" t="n">
        <v>20</v>
      </c>
      <c r="D24" s="5"/>
      <c r="E24" s="5"/>
      <c r="F24" s="5" t="s">
        <v>63</v>
      </c>
    </row>
    <row r="25" customFormat="false" ht="15" hidden="false" customHeight="false" outlineLevel="0" collapsed="false">
      <c r="A25" s="5" t="s">
        <v>177</v>
      </c>
      <c r="B25" s="5" t="s">
        <v>188</v>
      </c>
      <c r="C25" s="6" t="n">
        <v>60</v>
      </c>
      <c r="D25" s="5"/>
      <c r="E25" s="5" t="s">
        <v>189</v>
      </c>
      <c r="F25" s="5" t="s">
        <v>63</v>
      </c>
    </row>
    <row r="26" customFormat="false" ht="15" hidden="false" customHeight="false" outlineLevel="0" collapsed="false">
      <c r="A26" s="5" t="s">
        <v>190</v>
      </c>
      <c r="B26" s="5" t="s">
        <v>191</v>
      </c>
      <c r="C26" s="6" t="n">
        <v>0.3</v>
      </c>
      <c r="D26" s="5"/>
      <c r="E26" s="5" t="s">
        <v>192</v>
      </c>
      <c r="F26" s="5" t="s">
        <v>63</v>
      </c>
    </row>
    <row r="27" customFormat="false" ht="15" hidden="false" customHeight="false" outlineLevel="0" collapsed="false">
      <c r="A27" s="5" t="s">
        <v>190</v>
      </c>
      <c r="B27" s="5" t="s">
        <v>193</v>
      </c>
      <c r="C27" s="6" t="n">
        <v>2</v>
      </c>
      <c r="D27" s="5" t="s">
        <v>33</v>
      </c>
      <c r="E27" s="5" t="s">
        <v>194</v>
      </c>
      <c r="F27" s="5" t="s">
        <v>63</v>
      </c>
    </row>
    <row r="28" customFormat="false" ht="15" hidden="false" customHeight="false" outlineLevel="0" collapsed="false">
      <c r="A28" s="5" t="s">
        <v>190</v>
      </c>
      <c r="B28" s="5" t="s">
        <v>195</v>
      </c>
      <c r="C28" s="6" t="n">
        <v>4</v>
      </c>
      <c r="D28" s="5" t="s">
        <v>33</v>
      </c>
      <c r="E28" s="5"/>
      <c r="F28" s="5" t="s">
        <v>63</v>
      </c>
    </row>
    <row r="29" customFormat="false" ht="15" hidden="false" customHeight="false" outlineLevel="0" collapsed="false">
      <c r="A29" s="5" t="s">
        <v>196</v>
      </c>
      <c r="B29" s="5" t="s">
        <v>197</v>
      </c>
      <c r="C29" s="6" t="n">
        <v>25</v>
      </c>
      <c r="D29" s="5"/>
      <c r="E29" s="5" t="s">
        <v>198</v>
      </c>
      <c r="F29" s="5" t="s">
        <v>63</v>
      </c>
    </row>
    <row r="30" customFormat="false" ht="15" hidden="false" customHeight="false" outlineLevel="0" collapsed="false">
      <c r="A30" s="5" t="s">
        <v>196</v>
      </c>
      <c r="B30" s="5" t="s">
        <v>199</v>
      </c>
      <c r="C30" s="6" t="n">
        <v>0.5</v>
      </c>
      <c r="D30" s="5" t="s">
        <v>147</v>
      </c>
      <c r="E30" s="5" t="s">
        <v>200</v>
      </c>
      <c r="F30" s="5" t="s">
        <v>63</v>
      </c>
    </row>
    <row r="31" customFormat="false" ht="26.85" hidden="false" customHeight="false" outlineLevel="0" collapsed="false">
      <c r="A31" s="5" t="s">
        <v>196</v>
      </c>
      <c r="B31" s="5" t="s">
        <v>201</v>
      </c>
      <c r="C31" s="6" t="n">
        <v>20</v>
      </c>
      <c r="D31" s="5" t="s">
        <v>202</v>
      </c>
      <c r="E31" s="5" t="s">
        <v>203</v>
      </c>
      <c r="F31" s="5" t="s">
        <v>63</v>
      </c>
    </row>
    <row r="32" customFormat="false" ht="15" hidden="false" customHeight="false" outlineLevel="0" collapsed="false">
      <c r="A32" s="5" t="s">
        <v>196</v>
      </c>
      <c r="B32" s="5" t="s">
        <v>204</v>
      </c>
      <c r="C32" s="7" t="n">
        <v>0.75</v>
      </c>
      <c r="D32" s="5"/>
      <c r="E32" s="5" t="s">
        <v>205</v>
      </c>
      <c r="F32" s="5" t="s">
        <v>63</v>
      </c>
    </row>
    <row r="33" customFormat="false" ht="26.85" hidden="false" customHeight="false" outlineLevel="0" collapsed="false">
      <c r="A33" s="5" t="s">
        <v>196</v>
      </c>
      <c r="B33" s="5" t="s">
        <v>206</v>
      </c>
      <c r="C33" s="6" t="n">
        <v>50</v>
      </c>
      <c r="D33" s="5" t="s">
        <v>202</v>
      </c>
      <c r="E33" s="5"/>
      <c r="F33" s="5" t="s">
        <v>63</v>
      </c>
    </row>
    <row r="34" customFormat="false" ht="15" hidden="false" customHeight="false" outlineLevel="0" collapsed="false">
      <c r="A34" s="5" t="s">
        <v>196</v>
      </c>
      <c r="B34" s="5" t="s">
        <v>207</v>
      </c>
      <c r="C34" s="6" t="n">
        <v>0.5</v>
      </c>
      <c r="D34" s="5" t="s">
        <v>147</v>
      </c>
      <c r="E34" s="5"/>
      <c r="F34" s="5" t="s">
        <v>63</v>
      </c>
    </row>
    <row r="35" customFormat="false" ht="15" hidden="false" customHeight="false" outlineLevel="0" collapsed="false">
      <c r="A35" s="5" t="s">
        <v>196</v>
      </c>
      <c r="B35" s="5" t="s">
        <v>208</v>
      </c>
      <c r="C35" s="6" t="n">
        <v>1</v>
      </c>
      <c r="D35" s="5" t="s">
        <v>147</v>
      </c>
      <c r="E35" s="5"/>
      <c r="F35" s="5" t="s">
        <v>63</v>
      </c>
    </row>
    <row r="36" customFormat="false" ht="15" hidden="false" customHeight="false" outlineLevel="0" collapsed="false">
      <c r="A36" s="5" t="s">
        <v>196</v>
      </c>
      <c r="B36" s="5" t="s">
        <v>209</v>
      </c>
      <c r="C36" s="6" t="n">
        <v>1</v>
      </c>
      <c r="D36" s="5" t="s">
        <v>33</v>
      </c>
      <c r="E36" s="5" t="s">
        <v>210</v>
      </c>
      <c r="F36" s="5" t="s">
        <v>63</v>
      </c>
    </row>
    <row r="37" customFormat="false" ht="15" hidden="false" customHeight="false" outlineLevel="0" collapsed="false">
      <c r="A37" s="5" t="s">
        <v>211</v>
      </c>
      <c r="B37" s="5" t="s">
        <v>212</v>
      </c>
      <c r="C37" s="6" t="n">
        <v>1</v>
      </c>
      <c r="D37" s="5" t="s">
        <v>213</v>
      </c>
      <c r="E37" s="5" t="s">
        <v>214</v>
      </c>
      <c r="F37" s="5" t="s">
        <v>89</v>
      </c>
    </row>
    <row r="38" customFormat="false" ht="26.85" hidden="false" customHeight="false" outlineLevel="0" collapsed="false">
      <c r="A38" s="5" t="s">
        <v>211</v>
      </c>
      <c r="B38" s="5" t="s">
        <v>215</v>
      </c>
      <c r="C38" s="6" t="n">
        <v>2.5</v>
      </c>
      <c r="D38" s="5" t="s">
        <v>33</v>
      </c>
      <c r="E38" s="5" t="s">
        <v>216</v>
      </c>
      <c r="F38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4" t="s">
        <v>217</v>
      </c>
      <c r="B1" s="4" t="s">
        <v>218</v>
      </c>
      <c r="C1" s="4" t="s">
        <v>219</v>
      </c>
      <c r="D1" s="4" t="s">
        <v>220</v>
      </c>
      <c r="E1" s="4" t="s">
        <v>221</v>
      </c>
      <c r="F1" s="4" t="s">
        <v>222</v>
      </c>
    </row>
    <row r="2" customFormat="false" ht="26.85" hidden="false" customHeight="false" outlineLevel="0" collapsed="false">
      <c r="A2" s="5" t="s">
        <v>150</v>
      </c>
      <c r="B2" s="5" t="s">
        <v>223</v>
      </c>
      <c r="C2" s="5" t="s">
        <v>224</v>
      </c>
      <c r="D2" s="5" t="s">
        <v>225</v>
      </c>
      <c r="E2" s="5" t="s">
        <v>226</v>
      </c>
      <c r="F2" s="5" t="s">
        <v>36</v>
      </c>
    </row>
    <row r="3" customFormat="false" ht="15" hidden="false" customHeight="false" outlineLevel="0" collapsed="false">
      <c r="A3" s="5" t="s">
        <v>227</v>
      </c>
      <c r="B3" s="5" t="s">
        <v>223</v>
      </c>
      <c r="C3" s="5" t="s">
        <v>228</v>
      </c>
      <c r="D3" s="5" t="s">
        <v>225</v>
      </c>
      <c r="E3" s="5" t="s">
        <v>229</v>
      </c>
      <c r="F3" s="5" t="s">
        <v>230</v>
      </c>
    </row>
    <row r="4" customFormat="false" ht="15" hidden="false" customHeight="false" outlineLevel="0" collapsed="false">
      <c r="A4" s="5" t="s">
        <v>18</v>
      </c>
      <c r="B4" s="5" t="s">
        <v>223</v>
      </c>
      <c r="C4" s="5" t="s">
        <v>231</v>
      </c>
      <c r="D4" s="5" t="s">
        <v>225</v>
      </c>
      <c r="E4" s="5" t="s">
        <v>232</v>
      </c>
      <c r="F4" s="5" t="s">
        <v>29</v>
      </c>
    </row>
    <row r="5" customFormat="false" ht="15" hidden="false" customHeight="false" outlineLevel="0" collapsed="false">
      <c r="A5" s="5" t="s">
        <v>233</v>
      </c>
      <c r="B5" s="5" t="s">
        <v>234</v>
      </c>
      <c r="C5" s="5" t="s">
        <v>235</v>
      </c>
      <c r="D5" s="5" t="s">
        <v>225</v>
      </c>
      <c r="E5" s="5" t="s">
        <v>236</v>
      </c>
      <c r="F5" s="5" t="s">
        <v>237</v>
      </c>
    </row>
    <row r="6" customFormat="false" ht="26.85" hidden="false" customHeight="false" outlineLevel="0" collapsed="false">
      <c r="A6" s="5" t="s">
        <v>238</v>
      </c>
      <c r="B6" s="5" t="s">
        <v>223</v>
      </c>
      <c r="C6" s="5" t="s">
        <v>239</v>
      </c>
      <c r="D6" s="5" t="s">
        <v>240</v>
      </c>
      <c r="E6" s="5" t="s">
        <v>241</v>
      </c>
      <c r="F6" s="5" t="s">
        <v>242</v>
      </c>
    </row>
    <row r="7" customFormat="false" ht="15" hidden="false" customHeight="false" outlineLevel="0" collapsed="false">
      <c r="A7" s="5" t="s">
        <v>243</v>
      </c>
      <c r="B7" s="5" t="s">
        <v>244</v>
      </c>
      <c r="C7" s="5" t="s">
        <v>245</v>
      </c>
      <c r="D7" s="5" t="s">
        <v>225</v>
      </c>
      <c r="E7" s="5" t="s">
        <v>246</v>
      </c>
      <c r="F7" s="5" t="s">
        <v>240</v>
      </c>
    </row>
    <row r="8" customFormat="false" ht="26.85" hidden="false" customHeight="false" outlineLevel="0" collapsed="false">
      <c r="A8" s="5" t="s">
        <v>247</v>
      </c>
      <c r="B8" s="5" t="s">
        <v>223</v>
      </c>
      <c r="C8" s="5" t="s">
        <v>248</v>
      </c>
      <c r="D8" s="5" t="s">
        <v>249</v>
      </c>
      <c r="E8" s="5"/>
      <c r="F8" s="5" t="s">
        <v>250</v>
      </c>
    </row>
    <row r="9" customFormat="false" ht="15" hidden="false" customHeight="false" outlineLevel="0" collapsed="false">
      <c r="A9" s="5" t="s">
        <v>251</v>
      </c>
      <c r="B9" s="5" t="s">
        <v>223</v>
      </c>
      <c r="C9" s="5" t="s">
        <v>252</v>
      </c>
      <c r="D9" s="5" t="s">
        <v>253</v>
      </c>
      <c r="E9" s="5" t="s">
        <v>254</v>
      </c>
      <c r="F9" s="5" t="s">
        <v>255</v>
      </c>
    </row>
    <row r="10" customFormat="false" ht="15" hidden="false" customHeight="false" outlineLevel="0" collapsed="false">
      <c r="A10" s="5" t="s">
        <v>256</v>
      </c>
      <c r="B10" s="5" t="s">
        <v>234</v>
      </c>
      <c r="C10" s="5" t="s">
        <v>257</v>
      </c>
      <c r="D10" s="5" t="s">
        <v>258</v>
      </c>
      <c r="E10" s="5" t="s">
        <v>259</v>
      </c>
      <c r="F10" s="5" t="s">
        <v>260</v>
      </c>
    </row>
    <row r="11" customFormat="false" ht="26.85" hidden="false" customHeight="false" outlineLevel="0" collapsed="false">
      <c r="A11" s="5" t="s">
        <v>261</v>
      </c>
      <c r="B11" s="5" t="s">
        <v>262</v>
      </c>
      <c r="C11" s="5" t="s">
        <v>263</v>
      </c>
      <c r="D11" s="5" t="s">
        <v>225</v>
      </c>
      <c r="E11" s="5" t="s">
        <v>264</v>
      </c>
      <c r="F11" s="5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3"/>
  </cols>
  <sheetData>
    <row r="1" customFormat="false" ht="15" hidden="false" customHeight="false" outlineLevel="0" collapsed="false">
      <c r="A1" s="10" t="s">
        <v>266</v>
      </c>
    </row>
    <row r="2" customFormat="false" ht="15" hidden="false" customHeight="false" outlineLevel="0" collapsed="false">
      <c r="A2" s="11" t="s">
        <v>267</v>
      </c>
    </row>
    <row r="4" customFormat="false" ht="15" hidden="false" customHeight="false" outlineLevel="0" collapsed="false">
      <c r="A4" s="11" t="s">
        <v>268</v>
      </c>
      <c r="B4" s="12" t="n">
        <v>96</v>
      </c>
    </row>
    <row r="5" customFormat="false" ht="15" hidden="false" customHeight="false" outlineLevel="0" collapsed="false">
      <c r="A5" s="11" t="s">
        <v>269</v>
      </c>
      <c r="B5" s="12" t="n">
        <v>4</v>
      </c>
    </row>
    <row r="6" customFormat="false" ht="15" hidden="false" customHeight="false" outlineLevel="0" collapsed="false">
      <c r="A6" s="11" t="s">
        <v>270</v>
      </c>
      <c r="B6" s="11" t="n">
        <f aca="false">Bereiche!G3</f>
        <v>10</v>
      </c>
    </row>
    <row r="7" customFormat="false" ht="15" hidden="false" customHeight="false" outlineLevel="0" collapsed="false">
      <c r="A7" s="11" t="s">
        <v>271</v>
      </c>
      <c r="B7" s="12" t="n">
        <v>1</v>
      </c>
    </row>
    <row r="8" customFormat="false" ht="15" hidden="false" customHeight="false" outlineLevel="0" collapsed="false">
      <c r="A8" s="11" t="s">
        <v>272</v>
      </c>
      <c r="B8" s="11" t="n">
        <f aca="false">INDEX(Dehnungskorrektur!C2:C6,B7+1)-Dehnungskorrektur!C2</f>
        <v>-1</v>
      </c>
    </row>
    <row r="9" customFormat="false" ht="15" hidden="false" customHeight="false" outlineLevel="0" collapsed="false">
      <c r="A9" s="11" t="s">
        <v>273</v>
      </c>
      <c r="B9" s="13" t="n">
        <f aca="false">B6*((1-Parameter!C14)+Parameter!C14*B4/Parameter!C15)+B8</f>
        <v>9.21739130434783</v>
      </c>
    </row>
    <row r="10" customFormat="false" ht="15" hidden="false" customHeight="false" outlineLevel="0" collapsed="false">
      <c r="A10" s="11" t="s">
        <v>274</v>
      </c>
      <c r="B10" s="13" t="n">
        <f aca="false">Parameter!C6*B5</f>
        <v>2</v>
      </c>
    </row>
    <row r="11" customFormat="false" ht="15" hidden="false" customHeight="false" outlineLevel="0" collapsed="false">
      <c r="A11" s="11" t="s">
        <v>275</v>
      </c>
      <c r="B11" s="12" t="n">
        <v>0</v>
      </c>
    </row>
    <row r="13" customFormat="false" ht="15" hidden="false" customHeight="false" outlineLevel="0" collapsed="false">
      <c r="A13" s="10" t="s">
        <v>276</v>
      </c>
      <c r="B13" s="10" t="s">
        <v>277</v>
      </c>
      <c r="C13" s="10" t="s">
        <v>278</v>
      </c>
      <c r="D13" s="10" t="s">
        <v>279</v>
      </c>
      <c r="E13" s="10" t="s">
        <v>280</v>
      </c>
    </row>
    <row r="14" customFormat="false" ht="15" hidden="false" customHeight="false" outlineLevel="0" collapsed="false">
      <c r="A14" s="11" t="s">
        <v>281</v>
      </c>
      <c r="B14" s="12" t="n">
        <v>100</v>
      </c>
      <c r="C14" s="11" t="n">
        <f aca="false">B14-$B$4</f>
        <v>4</v>
      </c>
      <c r="D14" s="13" t="n">
        <f aca="false">MAX(0,ABS(C14-$B$9)-$B$10)</f>
        <v>3.21739130434783</v>
      </c>
      <c r="E14" s="13" t="n">
        <f aca="false">IF(C14&lt;$B$9,Parameter!$C$2,Parameter!$C$3)*D14+Parameter!$C$4*MAX(0,$B$11-C14)</f>
        <v>6.43478260869566</v>
      </c>
    </row>
    <row r="15" customFormat="false" ht="15" hidden="false" customHeight="false" outlineLevel="0" collapsed="false">
      <c r="A15" s="11" t="s">
        <v>282</v>
      </c>
      <c r="B15" s="12" t="n">
        <v>104</v>
      </c>
      <c r="C15" s="11" t="n">
        <f aca="false">B15-$B$4</f>
        <v>8</v>
      </c>
      <c r="D15" s="13" t="n">
        <f aca="false">MAX(0,ABS(C15-$B$9)-$B$10)</f>
        <v>0</v>
      </c>
      <c r="E15" s="13" t="n">
        <f aca="false">IF(C15&lt;$B$9,Parameter!$C$2,Parameter!$C$3)*D15+Parameter!$C$4*MAX(0,$B$11-C15)</f>
        <v>0</v>
      </c>
    </row>
    <row r="16" customFormat="false" ht="15" hidden="false" customHeight="false" outlineLevel="0" collapsed="false">
      <c r="A16" s="11" t="s">
        <v>283</v>
      </c>
      <c r="B16" s="12" t="n">
        <v>108</v>
      </c>
      <c r="C16" s="11" t="n">
        <f aca="false">B16-$B$4</f>
        <v>12</v>
      </c>
      <c r="D16" s="13" t="n">
        <f aca="false">MAX(0,ABS(C16-$B$9)-$B$10)</f>
        <v>0.782608695652172</v>
      </c>
      <c r="E16" s="13" t="n">
        <f aca="false">IF(C16&lt;$B$9,Parameter!$C$2,Parameter!$C$3)*D16+Parameter!$C$4*MAX(0,$B$11-C16)</f>
        <v>0.782608695652172</v>
      </c>
    </row>
    <row r="17" customFormat="false" ht="15" hidden="false" customHeight="false" outlineLevel="0" collapsed="false">
      <c r="A17" s="11" t="s">
        <v>284</v>
      </c>
      <c r="B17" s="12" t="n">
        <v>112</v>
      </c>
      <c r="C17" s="11" t="n">
        <f aca="false">B17-$B$4</f>
        <v>16</v>
      </c>
      <c r="D17" s="13" t="n">
        <f aca="false">MAX(0,ABS(C17-$B$9)-$B$10)</f>
        <v>4.78260869565217</v>
      </c>
      <c r="E17" s="13" t="n">
        <f aca="false">IF(C17&lt;$B$9,Parameter!$C$2,Parameter!$C$3)*D17+Parameter!$C$4*MAX(0,$B$11-C17)</f>
        <v>4.78260869565217</v>
      </c>
    </row>
    <row r="19" customFormat="false" ht="15" hidden="false" customHeight="false" outlineLevel="0" collapsed="false">
      <c r="A19" s="10" t="s">
        <v>285</v>
      </c>
      <c r="B19" s="10" t="str">
        <f aca="false">INDEX(A14:A17,MATCH(MIN(E14:E17),E14:E17,0))</f>
        <v>40</v>
      </c>
    </row>
    <row r="21" customFormat="false" ht="15" hidden="false" customHeight="true" outlineLevel="0" collapsed="false">
      <c r="A21" s="14" t="s">
        <v>286</v>
      </c>
      <c r="B21" s="14"/>
      <c r="C21" s="14"/>
      <c r="D21" s="14"/>
      <c r="E21" s="14"/>
      <c r="F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</row>
  </sheetData>
  <mergeCells count="1">
    <mergeCell ref="A21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2026-10-20T09:21:49Z</dcterms:created>
  <dc:creator>openpyxl</dc:creator>
  <dc:description/>
  <dc:language>en-US</dc:language>
  <cp:lastModifiedBy/>
  <dcterms:modified xsi:type="dcterms:W3CDTF">2026-10-20T09:21:49Z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